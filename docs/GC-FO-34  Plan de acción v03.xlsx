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.5\Cumplimiento\SGIA- GC Gestión de seguimiento y evaluación\5. Formatos\Actual\"/>
    </mc:Choice>
  </mc:AlternateContent>
  <xr:revisionPtr revIDLastSave="0" documentId="8_{AA0A111E-45E5-4AF8-B5B3-AE31373A9B3B}" xr6:coauthVersionLast="47" xr6:coauthVersionMax="47" xr10:uidLastSave="{00000000-0000-0000-0000-000000000000}"/>
  <bookViews>
    <workbookView xWindow="-108" yWindow="-108" windowWidth="23256" windowHeight="12456" xr2:uid="{FFBDDD38-B860-46C6-B29A-D26E760F45B8}"/>
  </bookViews>
  <sheets>
    <sheet name="Plan de acción" sheetId="1" r:id="rId1"/>
  </sheets>
  <definedNames>
    <definedName name="_xlnm._FilterDatabase" localSheetId="0" hidden="1">'Plan de acción'!$A$10:$N$169</definedName>
    <definedName name="_xlnm.Print_Area" localSheetId="0">'Plan de acción'!$A$1:$N$74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L160" i="1" s="1"/>
  <c r="M160" i="1" s="1"/>
  <c r="L161" i="1" l="1"/>
  <c r="M161" i="1" s="1"/>
  <c r="L162" i="1"/>
  <c r="M162" i="1" s="1"/>
  <c r="L40" i="1"/>
  <c r="M40" i="1" s="1"/>
  <c r="L58" i="1"/>
  <c r="M58" i="1" s="1"/>
  <c r="L88" i="1"/>
  <c r="M88" i="1" s="1"/>
  <c r="L106" i="1"/>
  <c r="M106" i="1" s="1"/>
  <c r="L142" i="1"/>
  <c r="M142" i="1" s="1"/>
  <c r="L29" i="1"/>
  <c r="M29" i="1" s="1"/>
  <c r="L59" i="1"/>
  <c r="M59" i="1" s="1"/>
  <c r="L89" i="1"/>
  <c r="M89" i="1" s="1"/>
  <c r="L101" i="1"/>
  <c r="M101" i="1" s="1"/>
  <c r="L113" i="1"/>
  <c r="M113" i="1" s="1"/>
  <c r="L131" i="1"/>
  <c r="M131" i="1" s="1"/>
  <c r="L155" i="1"/>
  <c r="M155" i="1" s="1"/>
  <c r="L12" i="1"/>
  <c r="M12" i="1" s="1"/>
  <c r="L18" i="1"/>
  <c r="M18" i="1" s="1"/>
  <c r="L24" i="1"/>
  <c r="M24" i="1" s="1"/>
  <c r="L30" i="1"/>
  <c r="M30" i="1" s="1"/>
  <c r="L36" i="1"/>
  <c r="M36" i="1" s="1"/>
  <c r="L42" i="1"/>
  <c r="M42" i="1" s="1"/>
  <c r="L48" i="1"/>
  <c r="M48" i="1" s="1"/>
  <c r="L54" i="1"/>
  <c r="M54" i="1" s="1"/>
  <c r="L60" i="1"/>
  <c r="M60" i="1" s="1"/>
  <c r="L66" i="1"/>
  <c r="M66" i="1" s="1"/>
  <c r="L72" i="1"/>
  <c r="M72" i="1" s="1"/>
  <c r="L78" i="1"/>
  <c r="M78" i="1" s="1"/>
  <c r="L84" i="1"/>
  <c r="M84" i="1" s="1"/>
  <c r="L90" i="1"/>
  <c r="M90" i="1" s="1"/>
  <c r="L96" i="1"/>
  <c r="M96" i="1" s="1"/>
  <c r="L102" i="1"/>
  <c r="M102" i="1" s="1"/>
  <c r="L108" i="1"/>
  <c r="M108" i="1" s="1"/>
  <c r="L114" i="1"/>
  <c r="M114" i="1" s="1"/>
  <c r="L120" i="1"/>
  <c r="M120" i="1" s="1"/>
  <c r="L126" i="1"/>
  <c r="M126" i="1" s="1"/>
  <c r="L132" i="1"/>
  <c r="M132" i="1" s="1"/>
  <c r="L138" i="1"/>
  <c r="M138" i="1" s="1"/>
  <c r="L144" i="1"/>
  <c r="M144" i="1" s="1"/>
  <c r="L150" i="1"/>
  <c r="M150" i="1" s="1"/>
  <c r="L156" i="1"/>
  <c r="M156" i="1" s="1"/>
  <c r="L163" i="1"/>
  <c r="M163" i="1" s="1"/>
  <c r="L28" i="1"/>
  <c r="M28" i="1" s="1"/>
  <c r="L64" i="1"/>
  <c r="M64" i="1" s="1"/>
  <c r="L112" i="1"/>
  <c r="M112" i="1" s="1"/>
  <c r="L130" i="1"/>
  <c r="M130" i="1" s="1"/>
  <c r="L154" i="1"/>
  <c r="M154" i="1" s="1"/>
  <c r="L35" i="1"/>
  <c r="M35" i="1" s="1"/>
  <c r="L65" i="1"/>
  <c r="M65" i="1" s="1"/>
  <c r="L143" i="1"/>
  <c r="M143" i="1" s="1"/>
  <c r="L13" i="1"/>
  <c r="M13" i="1" s="1"/>
  <c r="L19" i="1"/>
  <c r="M19" i="1" s="1"/>
  <c r="L25" i="1"/>
  <c r="M25" i="1" s="1"/>
  <c r="L31" i="1"/>
  <c r="M31" i="1" s="1"/>
  <c r="L37" i="1"/>
  <c r="M37" i="1" s="1"/>
  <c r="L43" i="1"/>
  <c r="M43" i="1" s="1"/>
  <c r="L49" i="1"/>
  <c r="M49" i="1" s="1"/>
  <c r="L55" i="1"/>
  <c r="M55" i="1" s="1"/>
  <c r="L61" i="1"/>
  <c r="M61" i="1" s="1"/>
  <c r="L67" i="1"/>
  <c r="M67" i="1" s="1"/>
  <c r="L73" i="1"/>
  <c r="M73" i="1" s="1"/>
  <c r="L79" i="1"/>
  <c r="M79" i="1" s="1"/>
  <c r="L85" i="1"/>
  <c r="M85" i="1" s="1"/>
  <c r="L91" i="1"/>
  <c r="M91" i="1" s="1"/>
  <c r="L97" i="1"/>
  <c r="M97" i="1" s="1"/>
  <c r="L103" i="1"/>
  <c r="M103" i="1" s="1"/>
  <c r="L109" i="1"/>
  <c r="M109" i="1" s="1"/>
  <c r="L115" i="1"/>
  <c r="M115" i="1" s="1"/>
  <c r="L121" i="1"/>
  <c r="M121" i="1" s="1"/>
  <c r="L127" i="1"/>
  <c r="M127" i="1" s="1"/>
  <c r="L133" i="1"/>
  <c r="M133" i="1" s="1"/>
  <c r="L139" i="1"/>
  <c r="M139" i="1" s="1"/>
  <c r="L145" i="1"/>
  <c r="M145" i="1" s="1"/>
  <c r="L151" i="1"/>
  <c r="M151" i="1" s="1"/>
  <c r="L157" i="1"/>
  <c r="M157" i="1" s="1"/>
  <c r="L164" i="1"/>
  <c r="M164" i="1" s="1"/>
  <c r="L22" i="1"/>
  <c r="M22" i="1" s="1"/>
  <c r="L46" i="1"/>
  <c r="M46" i="1" s="1"/>
  <c r="L76" i="1"/>
  <c r="M76" i="1" s="1"/>
  <c r="L124" i="1"/>
  <c r="M124" i="1" s="1"/>
  <c r="L136" i="1"/>
  <c r="M136" i="1" s="1"/>
  <c r="L23" i="1"/>
  <c r="M23" i="1" s="1"/>
  <c r="L53" i="1"/>
  <c r="M53" i="1" s="1"/>
  <c r="L83" i="1"/>
  <c r="M83" i="1" s="1"/>
  <c r="L125" i="1"/>
  <c r="M125" i="1" s="1"/>
  <c r="L20" i="1"/>
  <c r="M20" i="1" s="1"/>
  <c r="L32" i="1"/>
  <c r="M32" i="1" s="1"/>
  <c r="L44" i="1"/>
  <c r="M44" i="1" s="1"/>
  <c r="L50" i="1"/>
  <c r="M50" i="1" s="1"/>
  <c r="L56" i="1"/>
  <c r="M56" i="1" s="1"/>
  <c r="L62" i="1"/>
  <c r="M62" i="1" s="1"/>
  <c r="L68" i="1"/>
  <c r="M68" i="1" s="1"/>
  <c r="L74" i="1"/>
  <c r="M74" i="1" s="1"/>
  <c r="L80" i="1"/>
  <c r="M80" i="1" s="1"/>
  <c r="L86" i="1"/>
  <c r="M86" i="1" s="1"/>
  <c r="L92" i="1"/>
  <c r="M92" i="1" s="1"/>
  <c r="L98" i="1"/>
  <c r="M98" i="1" s="1"/>
  <c r="L104" i="1"/>
  <c r="M104" i="1" s="1"/>
  <c r="L110" i="1"/>
  <c r="M110" i="1" s="1"/>
  <c r="L116" i="1"/>
  <c r="M116" i="1" s="1"/>
  <c r="L122" i="1"/>
  <c r="M122" i="1" s="1"/>
  <c r="L128" i="1"/>
  <c r="M128" i="1" s="1"/>
  <c r="L134" i="1"/>
  <c r="M134" i="1" s="1"/>
  <c r="L140" i="1"/>
  <c r="M140" i="1" s="1"/>
  <c r="L146" i="1"/>
  <c r="M146" i="1" s="1"/>
  <c r="L152" i="1"/>
  <c r="M152" i="1" s="1"/>
  <c r="L158" i="1"/>
  <c r="M158" i="1" s="1"/>
  <c r="L41" i="1"/>
  <c r="M41" i="1" s="1"/>
  <c r="L71" i="1"/>
  <c r="M71" i="1" s="1"/>
  <c r="L95" i="1"/>
  <c r="M95" i="1" s="1"/>
  <c r="L107" i="1"/>
  <c r="M107" i="1" s="1"/>
  <c r="L119" i="1"/>
  <c r="M119" i="1" s="1"/>
  <c r="L149" i="1"/>
  <c r="M149" i="1" s="1"/>
  <c r="L26" i="1"/>
  <c r="M26" i="1" s="1"/>
  <c r="L15" i="1"/>
  <c r="M15" i="1" s="1"/>
  <c r="L27" i="1"/>
  <c r="M27" i="1" s="1"/>
  <c r="L39" i="1"/>
  <c r="M39" i="1" s="1"/>
  <c r="L93" i="1"/>
  <c r="M93" i="1" s="1"/>
  <c r="L165" i="1"/>
  <c r="M165" i="1" s="1"/>
  <c r="L16" i="1"/>
  <c r="M16" i="1" s="1"/>
  <c r="L34" i="1"/>
  <c r="M34" i="1" s="1"/>
  <c r="L52" i="1"/>
  <c r="M52" i="1" s="1"/>
  <c r="L70" i="1"/>
  <c r="M70" i="1" s="1"/>
  <c r="L82" i="1"/>
  <c r="M82" i="1" s="1"/>
  <c r="L94" i="1"/>
  <c r="M94" i="1" s="1"/>
  <c r="L100" i="1"/>
  <c r="M100" i="1" s="1"/>
  <c r="L118" i="1"/>
  <c r="M118" i="1" s="1"/>
  <c r="L148" i="1"/>
  <c r="M148" i="1" s="1"/>
  <c r="L17" i="1"/>
  <c r="M17" i="1" s="1"/>
  <c r="L47" i="1"/>
  <c r="M47" i="1" s="1"/>
  <c r="L77" i="1"/>
  <c r="M77" i="1" s="1"/>
  <c r="L137" i="1"/>
  <c r="M137" i="1" s="1"/>
  <c r="L14" i="1"/>
  <c r="M14" i="1" s="1"/>
  <c r="L38" i="1"/>
  <c r="M38" i="1" s="1"/>
  <c r="L21" i="1"/>
  <c r="M21" i="1" s="1"/>
  <c r="L33" i="1"/>
  <c r="M33" i="1" s="1"/>
  <c r="L45" i="1"/>
  <c r="M45" i="1" s="1"/>
  <c r="L51" i="1"/>
  <c r="M51" i="1" s="1"/>
  <c r="L57" i="1"/>
  <c r="M57" i="1" s="1"/>
  <c r="L63" i="1"/>
  <c r="M63" i="1" s="1"/>
  <c r="L69" i="1"/>
  <c r="M69" i="1" s="1"/>
  <c r="L75" i="1"/>
  <c r="M75" i="1" s="1"/>
  <c r="L81" i="1"/>
  <c r="M81" i="1" s="1"/>
  <c r="L87" i="1"/>
  <c r="M87" i="1" s="1"/>
  <c r="L99" i="1"/>
  <c r="M99" i="1" s="1"/>
  <c r="L105" i="1"/>
  <c r="M105" i="1" s="1"/>
  <c r="L111" i="1"/>
  <c r="M111" i="1" s="1"/>
  <c r="L117" i="1"/>
  <c r="M117" i="1" s="1"/>
  <c r="L123" i="1"/>
  <c r="M123" i="1" s="1"/>
  <c r="L129" i="1"/>
  <c r="M129" i="1" s="1"/>
  <c r="L135" i="1"/>
  <c r="M135" i="1" s="1"/>
  <c r="L141" i="1"/>
  <c r="M141" i="1" s="1"/>
  <c r="L147" i="1"/>
  <c r="M147" i="1" s="1"/>
  <c r="L153" i="1"/>
  <c r="M153" i="1" s="1"/>
  <c r="L159" i="1"/>
  <c r="M159" i="1" s="1"/>
  <c r="L166" i="1"/>
  <c r="M166" i="1" s="1"/>
  <c r="M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tc={480040BA-3752-4D3A-9FF4-F32C679F64F8}</author>
  </authors>
  <commentList>
    <comment ref="L104" authorId="0" shapeId="0" xr:uid="{480040BA-3752-4D3A-9FF4-F32C679F64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requiere la instalacion de una tuberia, porque ya se controlaron las fugas de agua en baños y se controlo el flujo de agua de las llave </t>
      </text>
    </comment>
  </commentList>
</comments>
</file>

<file path=xl/sharedStrings.xml><?xml version="1.0" encoding="utf-8"?>
<sst xmlns="http://schemas.openxmlformats.org/spreadsheetml/2006/main" count="327" uniqueCount="35">
  <si>
    <t>EMPRESA DIECK Y DIECK</t>
  </si>
  <si>
    <t xml:space="preserve">PLAN DE ACCIÓN </t>
  </si>
  <si>
    <r>
      <t xml:space="preserve">Codigo: </t>
    </r>
    <r>
      <rPr>
        <sz val="11"/>
        <color theme="1"/>
        <rFont val="Arial Narrow"/>
        <family val="2"/>
      </rPr>
      <t>GC-FO-34</t>
    </r>
  </si>
  <si>
    <r>
      <t xml:space="preserve">Versión: </t>
    </r>
    <r>
      <rPr>
        <sz val="11"/>
        <color theme="1"/>
        <rFont val="Arial Narrow"/>
        <family val="2"/>
      </rPr>
      <t>0</t>
    </r>
    <r>
      <rPr>
        <b/>
        <sz val="11"/>
        <color theme="1"/>
        <rFont val="Arial Narrow"/>
        <family val="2"/>
      </rPr>
      <t>3</t>
    </r>
  </si>
  <si>
    <r>
      <t xml:space="preserve">Fecha de actualización: </t>
    </r>
    <r>
      <rPr>
        <sz val="11"/>
        <color theme="1"/>
        <rFont val="Arial Narrow"/>
        <family val="2"/>
      </rPr>
      <t>30-oct-23</t>
    </r>
  </si>
  <si>
    <r>
      <t xml:space="preserve">Objetivo: </t>
    </r>
    <r>
      <rPr>
        <sz val="11"/>
        <color theme="1"/>
        <rFont val="Arial Narrow"/>
        <family val="2"/>
      </rPr>
      <t>Dar seguimiento a las actividades originadas de las no conformidades .</t>
    </r>
  </si>
  <si>
    <t xml:space="preserve">Fecha: </t>
  </si>
  <si>
    <t>% EFICIENCIA GLOBAL</t>
  </si>
  <si>
    <t>N°</t>
  </si>
  <si>
    <t>Planta</t>
  </si>
  <si>
    <t xml:space="preserve">Origen </t>
  </si>
  <si>
    <t>Requisito</t>
  </si>
  <si>
    <t>Descripción No Conformidad</t>
  </si>
  <si>
    <t>Descripción</t>
  </si>
  <si>
    <t>Responsable</t>
  </si>
  <si>
    <t xml:space="preserve">Recursos </t>
  </si>
  <si>
    <t>Fecha de Inicio</t>
  </si>
  <si>
    <t>Fecha de compromiso</t>
  </si>
  <si>
    <t>Fecha finalizado</t>
  </si>
  <si>
    <t xml:space="preserve"> Estado de cumplimiento </t>
  </si>
  <si>
    <t xml:space="preserve"> Eficiencia</t>
  </si>
  <si>
    <t>Observaciones</t>
  </si>
  <si>
    <t>Arroz / Harina</t>
  </si>
  <si>
    <t>Auditoria de Seguimiento NTC 5830-2023</t>
  </si>
  <si>
    <t xml:space="preserve">Harina </t>
  </si>
  <si>
    <t xml:space="preserve">Arroz </t>
  </si>
  <si>
    <t>Bodegas Harina</t>
  </si>
  <si>
    <t>Auditoria de Seguimiento NTC 5830-2024</t>
  </si>
  <si>
    <t>Verificación de PPR's</t>
  </si>
  <si>
    <t>Alrededores PH</t>
  </si>
  <si>
    <t>bodega mantenimiento</t>
  </si>
  <si>
    <t>Auditoria NTC 5830-2022</t>
  </si>
  <si>
    <t xml:space="preserve">Quejas de cliente </t>
  </si>
  <si>
    <t>Programa de verificación</t>
  </si>
  <si>
    <t>Retiro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</si>
</sst>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10"/>
      <color theme="1"/>
      <name val="Arial"/>
      <family val="2"/>
    </font>
    <font>
      <sz val="9"/>
      <color theme="1"/>
      <name val="Arial Narrow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9A6E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5" fontId="8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 wrapText="1"/>
    </xf>
    <xf numFmtId="15" fontId="4" fillId="3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9" fontId="7" fillId="4" borderId="0" xfId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5" fontId="4" fillId="0" borderId="3" xfId="0" applyNumberFormat="1" applyFont="1" applyBorder="1" applyAlignment="1">
      <alignment horizontal="center" vertical="center" wrapText="1"/>
    </xf>
    <xf numFmtId="9" fontId="7" fillId="0" borderId="3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wrapText="1"/>
    </xf>
    <xf numFmtId="14" fontId="4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5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/>
    <xf numFmtId="0" fontId="4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5" fontId="6" fillId="0" borderId="10" xfId="0" applyNumberFormat="1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/>
    <xf numFmtId="0" fontId="0" fillId="0" borderId="10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5" fontId="4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Normal" xfId="0" builtinId="0"/>
    <cellStyle name="Porcentaje" xfId="1" builtinId="5"/>
  </cellStyles>
  <dxfs count="4"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8348E.DC1650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2540974</xdr:colOff>
      <xdr:row>1</xdr:row>
      <xdr:rowOff>180052</xdr:rowOff>
    </xdr:from>
    <xdr:to>
      <xdr:col>13</xdr:col>
      <xdr:colOff>3393779</xdr:colOff>
      <xdr:row>5</xdr:row>
      <xdr:rowOff>1567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FF91DE-1CB1-47C2-8E0A-949562323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5" t="14528" r="80143" b="19189"/>
        <a:stretch>
          <a:fillRect/>
        </a:stretch>
      </xdr:blipFill>
      <xdr:spPr bwMode="auto">
        <a:xfrm>
          <a:off x="21971974" y="408652"/>
          <a:ext cx="852805" cy="6444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jandra  Murillo" id="{7A139EF4-6822-48E3-B4DA-5250BC2194F3}" userId="S::alejandra.murillo@grupodieck.hn::5ab8be47-aa24-48ac-b669-dae106e68f0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4" dT="2024-02-13T19:35:27.07" personId="{7A139EF4-6822-48E3-B4DA-5250BC2194F3}" id="{480040BA-3752-4D3A-9FF4-F32C679F64F8}">
    <text xml:space="preserve">No se requiere la instalacion de una tuberia, porque ya se controlaron las fugas de agua en baños y se controlo el flujo de agua de las llave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microsoft.com/office/2017/10/relationships/threadedComment" Target="../threadedComments/threadedComment1.xml"/><Relationship Id="rId2" Type="http://schemas.microsoft.com/office/2019/04/relationships/externalLinkLongPath" Target="file:///\\192.168.10.5\Users\Personal\Dropbox\1.%20Interairports%20SIG\Cap%209%20Desempe&#241;o\9.2%20Auditor&#237;a\c.%20Registros\1.%20Auditor&#237;a%20SP%2030%20nov%20al%201%20de%20octubre\Medioambiente\1.%20Dep&#243;sitos%20combust%20%20(Verdial)\1.%20Lista%20Verifica%20Tanq%20Comb.xlsx?015F50CE" TargetMode="External"/><Relationship Id="rId1" Type="http://schemas.openxmlformats.org/officeDocument/2006/relationships/externalLinkPath" Target="file:///\\015F50CE\1.%20Lista%20Verifica%20Tanq%20Comb.xlsx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BB8-B4D2-427A-8DA1-6A9C1429B7F7}">
  <sheetPr>
    <tabColor rgb="FF00B0F0"/>
  </sheetPr>
  <dimension ref="A1:N169"/>
  <sheetViews>
    <sheetView showGridLines="0" tabSelected="1" zoomScale="60" zoomScaleNormal="60" zoomScalePageLayoutView="60" workbookViewId="0">
      <pane ySplit="11" topLeftCell="A124" activePane="bottomLeft" state="frozen"/>
      <selection activeCell="A11" sqref="A11"/>
      <selection pane="bottomLeft" activeCell="N12" sqref="N12:N165"/>
    </sheetView>
  </sheetViews>
  <sheetFormatPr baseColWidth="10" defaultColWidth="8.88671875" defaultRowHeight="15.6" x14ac:dyDescent="0.3"/>
  <cols>
    <col min="1" max="1" width="5.33203125" style="2" customWidth="1"/>
    <col min="2" max="2" width="12.33203125" style="2" customWidth="1"/>
    <col min="3" max="3" width="21.6640625" style="13" customWidth="1"/>
    <col min="4" max="4" width="22.109375" style="89" customWidth="1"/>
    <col min="5" max="5" width="43.44140625" style="89" customWidth="1"/>
    <col min="6" max="6" width="39.88671875" style="13" customWidth="1"/>
    <col min="7" max="7" width="18.6640625" style="12" customWidth="1"/>
    <col min="8" max="8" width="23.5546875" style="13" customWidth="1"/>
    <col min="9" max="9" width="17.21875" style="89" customWidth="1"/>
    <col min="10" max="10" width="22.77734375" style="89" customWidth="1"/>
    <col min="11" max="11" width="15.88671875" style="89" customWidth="1"/>
    <col min="12" max="12" width="23.33203125" style="89" customWidth="1"/>
    <col min="13" max="13" width="17.109375" style="89" customWidth="1"/>
    <col min="14" max="14" width="50.77734375" style="2" customWidth="1"/>
    <col min="15" max="16384" width="8.88671875" style="2"/>
  </cols>
  <sheetData>
    <row r="1" spans="1:14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4" t="s">
        <v>2</v>
      </c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</row>
    <row r="4" spans="1:14" x14ac:dyDescent="0.3">
      <c r="A4" s="7" t="s">
        <v>3</v>
      </c>
      <c r="B4" s="7"/>
      <c r="C4" s="8"/>
      <c r="D4" s="9"/>
      <c r="E4" s="9"/>
      <c r="F4" s="5"/>
      <c r="G4" s="5"/>
      <c r="H4" s="5"/>
      <c r="I4" s="5"/>
      <c r="J4" s="10"/>
      <c r="K4" s="10"/>
      <c r="L4" s="10"/>
      <c r="M4" s="10"/>
    </row>
    <row r="5" spans="1:14" x14ac:dyDescent="0.3">
      <c r="A5" s="11" t="s">
        <v>4</v>
      </c>
      <c r="B5" s="11"/>
      <c r="C5" s="12"/>
      <c r="D5" s="5"/>
      <c r="E5" s="5"/>
      <c r="F5" s="5"/>
      <c r="G5" s="5"/>
      <c r="H5" s="5"/>
      <c r="I5" s="5"/>
      <c r="J5" s="10"/>
      <c r="K5" s="10"/>
      <c r="L5" s="10"/>
      <c r="M5" s="10"/>
    </row>
    <row r="6" spans="1:14" x14ac:dyDescent="0.3">
      <c r="D6" s="14"/>
      <c r="E6" s="14"/>
      <c r="H6" s="12"/>
      <c r="I6" s="12"/>
      <c r="J6" s="12"/>
      <c r="K6" s="12"/>
      <c r="L6" s="12"/>
      <c r="M6" s="12"/>
      <c r="N6" s="15"/>
    </row>
    <row r="7" spans="1:14" x14ac:dyDescent="0.3">
      <c r="A7" s="16" t="s">
        <v>5</v>
      </c>
      <c r="B7" s="16"/>
      <c r="C7" s="16"/>
      <c r="D7" s="16"/>
      <c r="E7" s="16"/>
      <c r="F7" s="16"/>
      <c r="G7" s="16"/>
      <c r="H7" s="12"/>
      <c r="I7" s="12"/>
      <c r="J7" s="12"/>
      <c r="K7" s="12"/>
      <c r="L7" s="17" t="s">
        <v>6</v>
      </c>
      <c r="M7" s="17"/>
      <c r="N7" s="18">
        <f ca="1">TODAY()</f>
        <v>45387</v>
      </c>
    </row>
    <row r="8" spans="1:14" x14ac:dyDescent="0.3">
      <c r="A8" s="19"/>
      <c r="B8" s="19"/>
      <c r="C8" s="12"/>
      <c r="D8" s="14"/>
      <c r="E8" s="19"/>
      <c r="F8" s="12"/>
      <c r="H8" s="12"/>
      <c r="I8" s="12"/>
      <c r="J8" s="12"/>
      <c r="K8" s="12"/>
      <c r="L8" s="20" t="s">
        <v>7</v>
      </c>
      <c r="M8" s="21">
        <f>(SUBTOTAL(1,M12:M293))</f>
        <v>8</v>
      </c>
      <c r="N8" s="22"/>
    </row>
    <row r="9" spans="1:14" x14ac:dyDescent="0.3">
      <c r="A9" s="19"/>
      <c r="B9" s="19"/>
      <c r="C9" s="12"/>
      <c r="D9" s="14"/>
      <c r="E9" s="19"/>
      <c r="F9" s="12"/>
      <c r="H9" s="12"/>
      <c r="I9" s="12"/>
      <c r="J9" s="12"/>
      <c r="K9" s="12"/>
      <c r="L9" s="12"/>
      <c r="M9" s="12"/>
      <c r="N9" s="22"/>
    </row>
    <row r="10" spans="1:14" x14ac:dyDescent="0.3">
      <c r="A10" s="23" t="s">
        <v>8</v>
      </c>
      <c r="B10" s="23" t="s">
        <v>9</v>
      </c>
      <c r="C10" s="23" t="s">
        <v>10</v>
      </c>
      <c r="D10" s="23" t="s">
        <v>11</v>
      </c>
      <c r="E10" s="24" t="s">
        <v>12</v>
      </c>
      <c r="F10" s="23" t="s">
        <v>13</v>
      </c>
      <c r="G10" s="23" t="s">
        <v>14</v>
      </c>
      <c r="H10" s="23" t="s">
        <v>15</v>
      </c>
      <c r="I10" s="23" t="s">
        <v>16</v>
      </c>
      <c r="J10" s="23" t="s">
        <v>17</v>
      </c>
      <c r="K10" s="23" t="s">
        <v>18</v>
      </c>
      <c r="L10" s="23" t="s">
        <v>19</v>
      </c>
      <c r="M10" s="25" t="s">
        <v>20</v>
      </c>
      <c r="N10" s="23" t="s">
        <v>21</v>
      </c>
    </row>
    <row r="11" spans="1:14" x14ac:dyDescent="0.3">
      <c r="A11" s="26"/>
      <c r="B11" s="26"/>
      <c r="C11" s="26"/>
      <c r="D11" s="26"/>
      <c r="E11" s="27"/>
      <c r="F11" s="26"/>
      <c r="G11" s="26"/>
      <c r="H11" s="26"/>
      <c r="I11" s="26"/>
      <c r="J11" s="26"/>
      <c r="K11" s="26"/>
      <c r="L11" s="26"/>
      <c r="M11" s="28"/>
      <c r="N11" s="26"/>
    </row>
    <row r="12" spans="1:14" s="38" customFormat="1" ht="31.2" x14ac:dyDescent="0.3">
      <c r="A12" s="29">
        <v>1</v>
      </c>
      <c r="B12" s="30" t="s">
        <v>22</v>
      </c>
      <c r="C12" s="30" t="s">
        <v>23</v>
      </c>
      <c r="D12" s="31"/>
      <c r="E12" s="32"/>
      <c r="F12" s="33"/>
      <c r="G12" s="34"/>
      <c r="H12" s="29"/>
      <c r="I12" s="35"/>
      <c r="J12" s="35"/>
      <c r="K12" s="35"/>
      <c r="L12" s="34" t="str">
        <f>IF(AND(K12="",J12=""),"",IF(AND(OR(J12&gt;$N$7,J12=$N$7),K12=""),"A TIEMPO",IF(AND(K12="",J12&lt;$N$7),"CON ATRASO",IF(AND(OR(K12&lt;J12,K12=J12),OR(J12&gt;$N$7,J12&lt;$N$7)),"TERMINADO A TIEMPO",IF(K12&gt;J12,"TERMINADO CON ATRASO","")))))</f>
        <v/>
      </c>
      <c r="M12" s="36">
        <f>IF($L12="TERMINADO CON ATRASO",0,IF($L12="TERMINADO A TIEMPO",1,IF($L12="CON ATRASO","0",IF($L12="A TIEMPO","",8))))</f>
        <v>8</v>
      </c>
      <c r="N12" s="37"/>
    </row>
    <row r="13" spans="1:14" s="38" customFormat="1" ht="31.2" x14ac:dyDescent="0.3">
      <c r="A13" s="29">
        <v>2</v>
      </c>
      <c r="B13" s="30" t="s">
        <v>22</v>
      </c>
      <c r="C13" s="30" t="s">
        <v>23</v>
      </c>
      <c r="D13" s="39"/>
      <c r="E13" s="40"/>
      <c r="F13" s="33"/>
      <c r="G13" s="34"/>
      <c r="H13" s="29"/>
      <c r="I13" s="35"/>
      <c r="J13" s="35"/>
      <c r="K13" s="35"/>
      <c r="L13" s="34" t="str">
        <f t="shared" ref="L13:L81" si="0">IF(AND(K13="",J13=""),"",IF(AND(OR(J13&gt;$N$7,J13=$N$7),K13=""),"A TIEMPO",IF(AND(K13="",J13&lt;$N$7),"CON ATRASO",IF(AND(OR(K13&lt;J13,K13=J13),OR(J13&gt;$N$7,J13&lt;$N$7)),"TERMINADO A TIEMPO",IF(K13&gt;J13,"TERMINADO CON ATRASO","")))))</f>
        <v/>
      </c>
      <c r="M13" s="36">
        <f t="shared" ref="M13:M76" si="1">IF($L13="TERMINADO CON ATRASO",0,IF($L13="TERMINADO A TIEMPO",1,IF($L13="CON ATRASO","0",IF($L13="A TIEMPO","",8))))</f>
        <v>8</v>
      </c>
      <c r="N13" s="37"/>
    </row>
    <row r="14" spans="1:14" s="38" customFormat="1" ht="31.2" x14ac:dyDescent="0.3">
      <c r="A14" s="29">
        <v>3</v>
      </c>
      <c r="B14" s="30" t="s">
        <v>22</v>
      </c>
      <c r="C14" s="30" t="s">
        <v>23</v>
      </c>
      <c r="D14" s="39"/>
      <c r="E14" s="40"/>
      <c r="F14" s="33"/>
      <c r="G14" s="34"/>
      <c r="H14" s="29"/>
      <c r="I14" s="35"/>
      <c r="J14" s="35"/>
      <c r="K14" s="35"/>
      <c r="L14" s="34" t="str">
        <f t="shared" si="0"/>
        <v/>
      </c>
      <c r="M14" s="36">
        <f t="shared" si="1"/>
        <v>8</v>
      </c>
      <c r="N14" s="41"/>
    </row>
    <row r="15" spans="1:14" s="38" customFormat="1" ht="31.2" x14ac:dyDescent="0.3">
      <c r="A15" s="29">
        <v>4</v>
      </c>
      <c r="B15" s="30" t="s">
        <v>22</v>
      </c>
      <c r="C15" s="30" t="s">
        <v>23</v>
      </c>
      <c r="D15" s="39"/>
      <c r="E15" s="40"/>
      <c r="F15" s="33"/>
      <c r="G15" s="34"/>
      <c r="H15" s="29"/>
      <c r="I15" s="35"/>
      <c r="J15" s="35"/>
      <c r="K15" s="35"/>
      <c r="L15" s="34" t="str">
        <f t="shared" si="0"/>
        <v/>
      </c>
      <c r="M15" s="36">
        <f t="shared" si="1"/>
        <v>8</v>
      </c>
      <c r="N15" s="37"/>
    </row>
    <row r="16" spans="1:14" s="38" customFormat="1" ht="52.2" customHeight="1" x14ac:dyDescent="0.3">
      <c r="A16" s="29">
        <v>5</v>
      </c>
      <c r="B16" s="30" t="s">
        <v>24</v>
      </c>
      <c r="C16" s="30" t="s">
        <v>23</v>
      </c>
      <c r="D16" s="39"/>
      <c r="E16" s="40"/>
      <c r="F16" s="33"/>
      <c r="G16" s="34"/>
      <c r="H16" s="29"/>
      <c r="I16" s="35"/>
      <c r="J16" s="35"/>
      <c r="K16" s="42"/>
      <c r="L16" s="34" t="str">
        <f t="shared" si="0"/>
        <v/>
      </c>
      <c r="M16" s="36">
        <f t="shared" si="1"/>
        <v>8</v>
      </c>
      <c r="N16" s="41"/>
    </row>
    <row r="17" spans="1:14" s="38" customFormat="1" ht="58.8" customHeight="1" x14ac:dyDescent="0.3">
      <c r="A17" s="29">
        <v>6</v>
      </c>
      <c r="B17" s="30" t="s">
        <v>22</v>
      </c>
      <c r="C17" s="30" t="s">
        <v>23</v>
      </c>
      <c r="D17" s="39"/>
      <c r="E17" s="40"/>
      <c r="F17" s="33"/>
      <c r="G17" s="34"/>
      <c r="H17" s="29"/>
      <c r="I17" s="35"/>
      <c r="J17" s="35"/>
      <c r="K17" s="35"/>
      <c r="L17" s="34" t="str">
        <f t="shared" si="0"/>
        <v/>
      </c>
      <c r="M17" s="36">
        <f t="shared" si="1"/>
        <v>8</v>
      </c>
      <c r="N17" s="43"/>
    </row>
    <row r="18" spans="1:14" s="38" customFormat="1" ht="31.2" x14ac:dyDescent="0.3">
      <c r="A18" s="29">
        <v>7</v>
      </c>
      <c r="B18" s="30" t="s">
        <v>22</v>
      </c>
      <c r="C18" s="30" t="s">
        <v>23</v>
      </c>
      <c r="D18" s="39"/>
      <c r="E18" s="40"/>
      <c r="F18" s="33"/>
      <c r="G18" s="34"/>
      <c r="H18" s="29"/>
      <c r="I18" s="35"/>
      <c r="J18" s="35"/>
      <c r="K18" s="35"/>
      <c r="L18" s="34" t="str">
        <f t="shared" si="0"/>
        <v/>
      </c>
      <c r="M18" s="36">
        <f t="shared" si="1"/>
        <v>8</v>
      </c>
      <c r="N18" s="43"/>
    </row>
    <row r="19" spans="1:14" s="38" customFormat="1" ht="31.2" x14ac:dyDescent="0.3">
      <c r="A19" s="29">
        <v>8</v>
      </c>
      <c r="B19" s="30" t="s">
        <v>22</v>
      </c>
      <c r="C19" s="30" t="s">
        <v>23</v>
      </c>
      <c r="D19" s="39"/>
      <c r="E19" s="40"/>
      <c r="F19" s="33"/>
      <c r="G19" s="34"/>
      <c r="H19" s="29"/>
      <c r="I19" s="35"/>
      <c r="J19" s="35"/>
      <c r="K19" s="35"/>
      <c r="L19" s="34" t="str">
        <f t="shared" si="0"/>
        <v/>
      </c>
      <c r="M19" s="36">
        <f t="shared" si="1"/>
        <v>8</v>
      </c>
      <c r="N19" s="43"/>
    </row>
    <row r="20" spans="1:14" s="38" customFormat="1" ht="31.2" x14ac:dyDescent="0.3">
      <c r="A20" s="29">
        <v>9</v>
      </c>
      <c r="B20" s="30" t="s">
        <v>22</v>
      </c>
      <c r="C20" s="30" t="s">
        <v>23</v>
      </c>
      <c r="D20" s="44"/>
      <c r="E20" s="45"/>
      <c r="F20" s="33"/>
      <c r="G20" s="34"/>
      <c r="H20" s="29"/>
      <c r="I20" s="35"/>
      <c r="J20" s="35"/>
      <c r="K20" s="42"/>
      <c r="L20" s="34" t="str">
        <f t="shared" si="0"/>
        <v/>
      </c>
      <c r="M20" s="36">
        <f t="shared" si="1"/>
        <v>8</v>
      </c>
      <c r="N20" s="41"/>
    </row>
    <row r="21" spans="1:14" ht="31.2" x14ac:dyDescent="0.3">
      <c r="A21" s="29">
        <v>10</v>
      </c>
      <c r="B21" s="30" t="s">
        <v>25</v>
      </c>
      <c r="C21" s="30" t="s">
        <v>23</v>
      </c>
      <c r="D21" s="46"/>
      <c r="E21" s="32"/>
      <c r="F21" s="33"/>
      <c r="G21" s="34"/>
      <c r="H21" s="47"/>
      <c r="I21" s="48"/>
      <c r="J21" s="48"/>
      <c r="K21" s="49"/>
      <c r="L21" s="34" t="str">
        <f t="shared" si="0"/>
        <v/>
      </c>
      <c r="M21" s="36">
        <f t="shared" si="1"/>
        <v>8</v>
      </c>
      <c r="N21" s="50"/>
    </row>
    <row r="22" spans="1:14" ht="31.2" x14ac:dyDescent="0.3">
      <c r="A22" s="29">
        <v>11</v>
      </c>
      <c r="B22" s="30" t="s">
        <v>25</v>
      </c>
      <c r="C22" s="30" t="s">
        <v>23</v>
      </c>
      <c r="D22" s="51"/>
      <c r="E22" s="40"/>
      <c r="F22" s="33"/>
      <c r="G22" s="34"/>
      <c r="H22" s="29"/>
      <c r="I22" s="48"/>
      <c r="J22" s="48"/>
      <c r="K22" s="49"/>
      <c r="L22" s="34" t="str">
        <f t="shared" si="0"/>
        <v/>
      </c>
      <c r="M22" s="36">
        <f t="shared" si="1"/>
        <v>8</v>
      </c>
      <c r="N22" s="50"/>
    </row>
    <row r="23" spans="1:14" ht="31.2" x14ac:dyDescent="0.3">
      <c r="A23" s="29">
        <v>12</v>
      </c>
      <c r="B23" s="30" t="s">
        <v>25</v>
      </c>
      <c r="C23" s="30" t="s">
        <v>23</v>
      </c>
      <c r="D23" s="51"/>
      <c r="E23" s="40"/>
      <c r="F23" s="33"/>
      <c r="G23" s="34"/>
      <c r="H23" s="47"/>
      <c r="I23" s="48"/>
      <c r="J23" s="48"/>
      <c r="K23" s="49"/>
      <c r="L23" s="34" t="str">
        <f t="shared" si="0"/>
        <v/>
      </c>
      <c r="M23" s="36">
        <f t="shared" si="1"/>
        <v>8</v>
      </c>
      <c r="N23" s="50"/>
    </row>
    <row r="24" spans="1:14" ht="31.2" x14ac:dyDescent="0.3">
      <c r="A24" s="29">
        <v>13</v>
      </c>
      <c r="B24" s="30" t="s">
        <v>25</v>
      </c>
      <c r="C24" s="30" t="s">
        <v>23</v>
      </c>
      <c r="D24" s="51"/>
      <c r="E24" s="40"/>
      <c r="F24" s="33"/>
      <c r="G24" s="34"/>
      <c r="H24" s="47"/>
      <c r="I24" s="48"/>
      <c r="J24" s="48"/>
      <c r="K24" s="49"/>
      <c r="L24" s="34" t="str">
        <f t="shared" si="0"/>
        <v/>
      </c>
      <c r="M24" s="36">
        <f t="shared" si="1"/>
        <v>8</v>
      </c>
      <c r="N24" s="50"/>
    </row>
    <row r="25" spans="1:14" ht="31.2" x14ac:dyDescent="0.3">
      <c r="A25" s="29">
        <v>14</v>
      </c>
      <c r="B25" s="30" t="s">
        <v>25</v>
      </c>
      <c r="C25" s="30" t="s">
        <v>23</v>
      </c>
      <c r="D25" s="52"/>
      <c r="E25" s="45"/>
      <c r="F25" s="33"/>
      <c r="G25" s="34"/>
      <c r="H25" s="29"/>
      <c r="I25" s="48"/>
      <c r="J25" s="48"/>
      <c r="K25" s="49"/>
      <c r="L25" s="34" t="str">
        <f t="shared" si="0"/>
        <v/>
      </c>
      <c r="M25" s="36">
        <f t="shared" si="1"/>
        <v>8</v>
      </c>
      <c r="N25" s="50"/>
    </row>
    <row r="26" spans="1:14" ht="31.2" x14ac:dyDescent="0.3">
      <c r="A26" s="29">
        <v>15</v>
      </c>
      <c r="B26" s="30" t="s">
        <v>26</v>
      </c>
      <c r="C26" s="30" t="s">
        <v>23</v>
      </c>
      <c r="D26" s="46"/>
      <c r="E26" s="32"/>
      <c r="F26" s="33"/>
      <c r="G26" s="34"/>
      <c r="H26" s="47"/>
      <c r="I26" s="48"/>
      <c r="J26" s="48"/>
      <c r="K26" s="48"/>
      <c r="L26" s="34" t="str">
        <f t="shared" si="0"/>
        <v/>
      </c>
      <c r="M26" s="36">
        <f t="shared" si="1"/>
        <v>8</v>
      </c>
      <c r="N26" s="53"/>
    </row>
    <row r="27" spans="1:14" ht="31.2" x14ac:dyDescent="0.3">
      <c r="A27" s="29">
        <v>16</v>
      </c>
      <c r="B27" s="30" t="s">
        <v>26</v>
      </c>
      <c r="C27" s="30" t="s">
        <v>23</v>
      </c>
      <c r="D27" s="51"/>
      <c r="E27" s="40"/>
      <c r="F27" s="33"/>
      <c r="G27" s="34"/>
      <c r="H27" s="47"/>
      <c r="I27" s="48"/>
      <c r="J27" s="48"/>
      <c r="K27" s="48"/>
      <c r="L27" s="34" t="str">
        <f t="shared" si="0"/>
        <v/>
      </c>
      <c r="M27" s="36">
        <f t="shared" si="1"/>
        <v>8</v>
      </c>
      <c r="N27" s="54"/>
    </row>
    <row r="28" spans="1:14" ht="31.2" x14ac:dyDescent="0.3">
      <c r="A28" s="29">
        <v>17</v>
      </c>
      <c r="B28" s="30" t="s">
        <v>26</v>
      </c>
      <c r="C28" s="30" t="s">
        <v>23</v>
      </c>
      <c r="D28" s="51"/>
      <c r="E28" s="40"/>
      <c r="F28" s="33"/>
      <c r="G28" s="34"/>
      <c r="H28" s="29"/>
      <c r="I28" s="48"/>
      <c r="J28" s="48"/>
      <c r="K28" s="48"/>
      <c r="L28" s="34" t="str">
        <f t="shared" si="0"/>
        <v/>
      </c>
      <c r="M28" s="36">
        <f t="shared" si="1"/>
        <v>8</v>
      </c>
      <c r="N28" s="54"/>
    </row>
    <row r="29" spans="1:14" ht="31.2" x14ac:dyDescent="0.3">
      <c r="A29" s="29">
        <v>18</v>
      </c>
      <c r="B29" s="30" t="s">
        <v>26</v>
      </c>
      <c r="C29" s="30" t="s">
        <v>23</v>
      </c>
      <c r="D29" s="51"/>
      <c r="E29" s="40"/>
      <c r="F29" s="33"/>
      <c r="G29" s="34"/>
      <c r="H29" s="47"/>
      <c r="I29" s="48"/>
      <c r="J29" s="48"/>
      <c r="K29" s="48"/>
      <c r="L29" s="34" t="str">
        <f t="shared" si="0"/>
        <v/>
      </c>
      <c r="M29" s="36">
        <f t="shared" si="1"/>
        <v>8</v>
      </c>
      <c r="N29" s="54"/>
    </row>
    <row r="30" spans="1:14" ht="31.2" x14ac:dyDescent="0.3">
      <c r="A30" s="29">
        <v>19</v>
      </c>
      <c r="B30" s="30" t="s">
        <v>26</v>
      </c>
      <c r="C30" s="30" t="s">
        <v>23</v>
      </c>
      <c r="D30" s="51"/>
      <c r="E30" s="40"/>
      <c r="F30" s="33"/>
      <c r="G30" s="34"/>
      <c r="H30" s="55"/>
      <c r="I30" s="48"/>
      <c r="J30" s="48"/>
      <c r="K30" s="48"/>
      <c r="L30" s="34" t="str">
        <f t="shared" si="0"/>
        <v/>
      </c>
      <c r="M30" s="36">
        <f t="shared" si="1"/>
        <v>8</v>
      </c>
      <c r="N30" s="56"/>
    </row>
    <row r="31" spans="1:14" ht="31.2" x14ac:dyDescent="0.3">
      <c r="A31" s="29">
        <v>20</v>
      </c>
      <c r="B31" s="30" t="s">
        <v>26</v>
      </c>
      <c r="C31" s="30" t="s">
        <v>23</v>
      </c>
      <c r="D31" s="51"/>
      <c r="E31" s="40"/>
      <c r="F31" s="33"/>
      <c r="G31" s="34"/>
      <c r="H31" s="47"/>
      <c r="I31" s="48"/>
      <c r="J31" s="48"/>
      <c r="K31" s="48"/>
      <c r="L31" s="34" t="str">
        <f t="shared" si="0"/>
        <v/>
      </c>
      <c r="M31" s="36">
        <f t="shared" si="1"/>
        <v>8</v>
      </c>
      <c r="N31" s="54"/>
    </row>
    <row r="32" spans="1:14" ht="31.2" x14ac:dyDescent="0.3">
      <c r="A32" s="29">
        <v>21</v>
      </c>
      <c r="B32" s="30" t="s">
        <v>26</v>
      </c>
      <c r="C32" s="30" t="s">
        <v>23</v>
      </c>
      <c r="D32" s="51"/>
      <c r="E32" s="40"/>
      <c r="F32" s="33"/>
      <c r="G32" s="34"/>
      <c r="H32" s="47"/>
      <c r="I32" s="48"/>
      <c r="J32" s="48"/>
      <c r="K32" s="48"/>
      <c r="L32" s="34" t="str">
        <f t="shared" si="0"/>
        <v/>
      </c>
      <c r="M32" s="36">
        <f t="shared" si="1"/>
        <v>8</v>
      </c>
      <c r="N32" s="54"/>
    </row>
    <row r="33" spans="1:14" ht="31.2" x14ac:dyDescent="0.3">
      <c r="A33" s="29">
        <v>22</v>
      </c>
      <c r="B33" s="30" t="s">
        <v>26</v>
      </c>
      <c r="C33" s="30" t="s">
        <v>23</v>
      </c>
      <c r="D33" s="51"/>
      <c r="E33" s="40"/>
      <c r="F33" s="33"/>
      <c r="G33" s="34"/>
      <c r="H33" s="47"/>
      <c r="I33" s="48"/>
      <c r="J33" s="48"/>
      <c r="K33" s="49"/>
      <c r="L33" s="34" t="str">
        <f t="shared" si="0"/>
        <v/>
      </c>
      <c r="M33" s="36">
        <f t="shared" si="1"/>
        <v>8</v>
      </c>
      <c r="N33" s="54"/>
    </row>
    <row r="34" spans="1:14" ht="31.2" x14ac:dyDescent="0.3">
      <c r="A34" s="29">
        <v>23</v>
      </c>
      <c r="B34" s="30" t="s">
        <v>26</v>
      </c>
      <c r="C34" s="30" t="s">
        <v>23</v>
      </c>
      <c r="D34" s="52"/>
      <c r="E34" s="45"/>
      <c r="F34" s="33"/>
      <c r="G34" s="34"/>
      <c r="H34" s="47"/>
      <c r="I34" s="48"/>
      <c r="J34" s="48"/>
      <c r="K34" s="49"/>
      <c r="L34" s="34" t="str">
        <f t="shared" si="0"/>
        <v/>
      </c>
      <c r="M34" s="36">
        <f t="shared" si="1"/>
        <v>8</v>
      </c>
      <c r="N34" s="54"/>
    </row>
    <row r="35" spans="1:14" ht="31.2" x14ac:dyDescent="0.3">
      <c r="A35" s="29">
        <v>24</v>
      </c>
      <c r="B35" s="30" t="s">
        <v>22</v>
      </c>
      <c r="C35" s="30" t="s">
        <v>23</v>
      </c>
      <c r="D35" s="46"/>
      <c r="E35" s="32"/>
      <c r="F35" s="33"/>
      <c r="G35" s="34"/>
      <c r="H35" s="47"/>
      <c r="I35" s="48"/>
      <c r="J35" s="48"/>
      <c r="K35" s="48"/>
      <c r="L35" s="34" t="str">
        <f t="shared" si="0"/>
        <v/>
      </c>
      <c r="M35" s="36">
        <f t="shared" si="1"/>
        <v>8</v>
      </c>
      <c r="N35" s="53"/>
    </row>
    <row r="36" spans="1:14" ht="31.2" x14ac:dyDescent="0.3">
      <c r="A36" s="29">
        <v>25</v>
      </c>
      <c r="B36" s="30" t="s">
        <v>22</v>
      </c>
      <c r="C36" s="30" t="s">
        <v>23</v>
      </c>
      <c r="D36" s="51"/>
      <c r="E36" s="40"/>
      <c r="F36" s="33"/>
      <c r="G36" s="34"/>
      <c r="H36" s="47"/>
      <c r="I36" s="48"/>
      <c r="J36" s="48"/>
      <c r="K36" s="48"/>
      <c r="L36" s="34" t="str">
        <f t="shared" si="0"/>
        <v/>
      </c>
      <c r="M36" s="36">
        <f t="shared" si="1"/>
        <v>8</v>
      </c>
      <c r="N36" s="53"/>
    </row>
    <row r="37" spans="1:14" ht="31.2" x14ac:dyDescent="0.3">
      <c r="A37" s="29">
        <v>26</v>
      </c>
      <c r="B37" s="30" t="s">
        <v>22</v>
      </c>
      <c r="C37" s="30" t="s">
        <v>23</v>
      </c>
      <c r="D37" s="51"/>
      <c r="E37" s="40"/>
      <c r="F37" s="33"/>
      <c r="G37" s="34"/>
      <c r="H37" s="47"/>
      <c r="I37" s="48"/>
      <c r="J37" s="48"/>
      <c r="K37" s="48"/>
      <c r="L37" s="34" t="str">
        <f t="shared" si="0"/>
        <v/>
      </c>
      <c r="M37" s="36">
        <f t="shared" si="1"/>
        <v>8</v>
      </c>
      <c r="N37" s="54"/>
    </row>
    <row r="38" spans="1:14" ht="31.2" x14ac:dyDescent="0.3">
      <c r="A38" s="29">
        <v>27</v>
      </c>
      <c r="B38" s="30" t="s">
        <v>22</v>
      </c>
      <c r="C38" s="30" t="s">
        <v>23</v>
      </c>
      <c r="D38" s="51"/>
      <c r="E38" s="40"/>
      <c r="F38" s="57"/>
      <c r="G38" s="34"/>
      <c r="H38" s="47"/>
      <c r="I38" s="48"/>
      <c r="J38" s="48"/>
      <c r="K38" s="48"/>
      <c r="L38" s="34" t="str">
        <f t="shared" si="0"/>
        <v/>
      </c>
      <c r="M38" s="36">
        <f t="shared" si="1"/>
        <v>8</v>
      </c>
      <c r="N38" s="58"/>
    </row>
    <row r="39" spans="1:14" ht="31.2" x14ac:dyDescent="0.3">
      <c r="A39" s="29">
        <v>28</v>
      </c>
      <c r="B39" s="30" t="s">
        <v>22</v>
      </c>
      <c r="C39" s="30" t="s">
        <v>23</v>
      </c>
      <c r="D39" s="52"/>
      <c r="E39" s="45"/>
      <c r="F39" s="57"/>
      <c r="G39" s="34"/>
      <c r="H39" s="47"/>
      <c r="I39" s="48"/>
      <c r="J39" s="48"/>
      <c r="K39" s="48"/>
      <c r="L39" s="34" t="str">
        <f t="shared" si="0"/>
        <v/>
      </c>
      <c r="M39" s="36">
        <f t="shared" si="1"/>
        <v>8</v>
      </c>
      <c r="N39" s="54"/>
    </row>
    <row r="40" spans="1:14" ht="31.2" customHeight="1" x14ac:dyDescent="0.3">
      <c r="A40" s="29">
        <v>29</v>
      </c>
      <c r="B40" s="30" t="s">
        <v>22</v>
      </c>
      <c r="C40" s="30" t="s">
        <v>23</v>
      </c>
      <c r="D40" s="31"/>
      <c r="E40" s="31"/>
      <c r="F40" s="57"/>
      <c r="G40" s="34"/>
      <c r="H40" s="29"/>
      <c r="I40" s="48"/>
      <c r="J40" s="48"/>
      <c r="K40" s="48"/>
      <c r="L40" s="34" t="str">
        <f t="shared" si="0"/>
        <v/>
      </c>
      <c r="M40" s="36">
        <f t="shared" si="1"/>
        <v>8</v>
      </c>
      <c r="N40" s="54"/>
    </row>
    <row r="41" spans="1:14" ht="31.2" x14ac:dyDescent="0.3">
      <c r="A41" s="29">
        <v>30</v>
      </c>
      <c r="B41" s="30" t="s">
        <v>22</v>
      </c>
      <c r="C41" s="30" t="s">
        <v>23</v>
      </c>
      <c r="D41" s="39"/>
      <c r="E41" s="39"/>
      <c r="F41" s="33"/>
      <c r="G41" s="34"/>
      <c r="H41" s="47"/>
      <c r="I41" s="48"/>
      <c r="J41" s="48"/>
      <c r="K41" s="48"/>
      <c r="L41" s="34" t="str">
        <f t="shared" si="0"/>
        <v/>
      </c>
      <c r="M41" s="36">
        <f t="shared" si="1"/>
        <v>8</v>
      </c>
      <c r="N41" s="54"/>
    </row>
    <row r="42" spans="1:14" ht="31.2" x14ac:dyDescent="0.3">
      <c r="A42" s="29">
        <v>31</v>
      </c>
      <c r="B42" s="30" t="s">
        <v>22</v>
      </c>
      <c r="C42" s="30" t="s">
        <v>23</v>
      </c>
      <c r="D42" s="39"/>
      <c r="E42" s="39"/>
      <c r="F42" s="57"/>
      <c r="G42" s="34"/>
      <c r="H42" s="47"/>
      <c r="I42" s="48"/>
      <c r="J42" s="48"/>
      <c r="K42" s="48"/>
      <c r="L42" s="34" t="str">
        <f t="shared" si="0"/>
        <v/>
      </c>
      <c r="M42" s="36">
        <f t="shared" si="1"/>
        <v>8</v>
      </c>
      <c r="N42" s="54"/>
    </row>
    <row r="43" spans="1:14" ht="31.2" x14ac:dyDescent="0.3">
      <c r="A43" s="29">
        <v>32</v>
      </c>
      <c r="B43" s="30" t="s">
        <v>22</v>
      </c>
      <c r="C43" s="30" t="s">
        <v>23</v>
      </c>
      <c r="D43" s="39"/>
      <c r="E43" s="39"/>
      <c r="F43" s="57"/>
      <c r="G43" s="34"/>
      <c r="H43" s="29"/>
      <c r="I43" s="48"/>
      <c r="J43" s="48"/>
      <c r="K43" s="48"/>
      <c r="L43" s="34" t="str">
        <f t="shared" si="0"/>
        <v/>
      </c>
      <c r="M43" s="36">
        <f t="shared" si="1"/>
        <v>8</v>
      </c>
      <c r="N43" s="54"/>
    </row>
    <row r="44" spans="1:14" ht="31.2" x14ac:dyDescent="0.3">
      <c r="A44" s="29">
        <v>33</v>
      </c>
      <c r="B44" s="30" t="s">
        <v>22</v>
      </c>
      <c r="C44" s="30" t="s">
        <v>23</v>
      </c>
      <c r="D44" s="39"/>
      <c r="E44" s="39"/>
      <c r="F44" s="57"/>
      <c r="G44" s="34"/>
      <c r="H44" s="47"/>
      <c r="I44" s="48"/>
      <c r="J44" s="48"/>
      <c r="K44" s="48"/>
      <c r="L44" s="34" t="str">
        <f t="shared" si="0"/>
        <v/>
      </c>
      <c r="M44" s="36">
        <f t="shared" si="1"/>
        <v>8</v>
      </c>
      <c r="N44" s="54"/>
    </row>
    <row r="45" spans="1:14" ht="31.2" x14ac:dyDescent="0.3">
      <c r="A45" s="29">
        <v>34</v>
      </c>
      <c r="B45" s="30" t="s">
        <v>22</v>
      </c>
      <c r="C45" s="30" t="s">
        <v>23</v>
      </c>
      <c r="D45" s="39"/>
      <c r="E45" s="39"/>
      <c r="F45" s="57"/>
      <c r="G45" s="34"/>
      <c r="H45" s="47"/>
      <c r="I45" s="48"/>
      <c r="J45" s="48"/>
      <c r="K45" s="48"/>
      <c r="L45" s="34" t="str">
        <f t="shared" si="0"/>
        <v/>
      </c>
      <c r="M45" s="36">
        <f t="shared" si="1"/>
        <v>8</v>
      </c>
      <c r="N45" s="54"/>
    </row>
    <row r="46" spans="1:14" ht="31.2" x14ac:dyDescent="0.3">
      <c r="A46" s="29">
        <v>35</v>
      </c>
      <c r="B46" s="30" t="s">
        <v>25</v>
      </c>
      <c r="C46" s="30" t="s">
        <v>23</v>
      </c>
      <c r="D46" s="39"/>
      <c r="E46" s="39"/>
      <c r="F46" s="57"/>
      <c r="G46" s="34"/>
      <c r="H46" s="47"/>
      <c r="I46" s="48"/>
      <c r="J46" s="48"/>
      <c r="K46" s="48"/>
      <c r="L46" s="34" t="str">
        <f t="shared" si="0"/>
        <v/>
      </c>
      <c r="M46" s="36">
        <f t="shared" si="1"/>
        <v>8</v>
      </c>
      <c r="N46" s="54"/>
    </row>
    <row r="47" spans="1:14" ht="31.2" x14ac:dyDescent="0.3">
      <c r="A47" s="29"/>
      <c r="B47" s="30" t="s">
        <v>24</v>
      </c>
      <c r="C47" s="30" t="s">
        <v>27</v>
      </c>
      <c r="D47" s="39"/>
      <c r="E47" s="39"/>
      <c r="F47" s="57"/>
      <c r="G47" s="34"/>
      <c r="H47" s="47"/>
      <c r="I47" s="48"/>
      <c r="J47" s="48"/>
      <c r="K47" s="48"/>
      <c r="L47" s="34" t="str">
        <f t="shared" si="0"/>
        <v/>
      </c>
      <c r="M47" s="36">
        <f t="shared" si="1"/>
        <v>8</v>
      </c>
      <c r="N47" s="54"/>
    </row>
    <row r="48" spans="1:14" ht="31.2" x14ac:dyDescent="0.3">
      <c r="A48" s="29">
        <v>36</v>
      </c>
      <c r="B48" s="30" t="s">
        <v>25</v>
      </c>
      <c r="C48" s="30" t="s">
        <v>23</v>
      </c>
      <c r="D48" s="39"/>
      <c r="E48" s="39"/>
      <c r="F48" s="57"/>
      <c r="G48" s="34"/>
      <c r="H48" s="47"/>
      <c r="I48" s="48"/>
      <c r="J48" s="48"/>
      <c r="K48" s="48"/>
      <c r="L48" s="34" t="str">
        <f t="shared" si="0"/>
        <v/>
      </c>
      <c r="M48" s="36">
        <f t="shared" si="1"/>
        <v>8</v>
      </c>
      <c r="N48" s="54"/>
    </row>
    <row r="49" spans="1:14" ht="31.2" x14ac:dyDescent="0.3">
      <c r="A49" s="29"/>
      <c r="B49" s="30" t="s">
        <v>24</v>
      </c>
      <c r="C49" s="30" t="s">
        <v>27</v>
      </c>
      <c r="D49" s="44"/>
      <c r="E49" s="44"/>
      <c r="F49" s="57"/>
      <c r="G49" s="34"/>
      <c r="H49" s="47"/>
      <c r="I49" s="48"/>
      <c r="J49" s="48"/>
      <c r="K49" s="48"/>
      <c r="L49" s="34" t="str">
        <f t="shared" si="0"/>
        <v/>
      </c>
      <c r="M49" s="36">
        <f t="shared" si="1"/>
        <v>8</v>
      </c>
      <c r="N49" s="54"/>
    </row>
    <row r="50" spans="1:14" ht="31.2" x14ac:dyDescent="0.3">
      <c r="A50" s="29">
        <v>37</v>
      </c>
      <c r="B50" s="30" t="s">
        <v>22</v>
      </c>
      <c r="C50" s="30" t="s">
        <v>23</v>
      </c>
      <c r="D50" s="46"/>
      <c r="E50" s="32"/>
      <c r="F50" s="57"/>
      <c r="G50" s="34"/>
      <c r="H50" s="47"/>
      <c r="I50" s="48"/>
      <c r="J50" s="48"/>
      <c r="K50" s="48"/>
      <c r="L50" s="34" t="str">
        <f t="shared" si="0"/>
        <v/>
      </c>
      <c r="M50" s="36">
        <f t="shared" si="1"/>
        <v>8</v>
      </c>
      <c r="N50" s="54"/>
    </row>
    <row r="51" spans="1:14" ht="31.2" x14ac:dyDescent="0.3">
      <c r="A51" s="29">
        <v>38</v>
      </c>
      <c r="B51" s="30" t="s">
        <v>22</v>
      </c>
      <c r="C51" s="30" t="s">
        <v>23</v>
      </c>
      <c r="D51" s="51"/>
      <c r="E51" s="40"/>
      <c r="F51" s="57"/>
      <c r="G51" s="34"/>
      <c r="H51" s="47"/>
      <c r="I51" s="48"/>
      <c r="J51" s="48"/>
      <c r="K51" s="48"/>
      <c r="L51" s="34" t="str">
        <f t="shared" si="0"/>
        <v/>
      </c>
      <c r="M51" s="36">
        <f t="shared" si="1"/>
        <v>8</v>
      </c>
      <c r="N51" s="54"/>
    </row>
    <row r="52" spans="1:14" ht="31.2" x14ac:dyDescent="0.3">
      <c r="A52" s="29">
        <v>39</v>
      </c>
      <c r="B52" s="30" t="s">
        <v>22</v>
      </c>
      <c r="C52" s="30" t="s">
        <v>23</v>
      </c>
      <c r="D52" s="51"/>
      <c r="E52" s="40"/>
      <c r="F52" s="57"/>
      <c r="G52" s="34"/>
      <c r="H52" s="47"/>
      <c r="I52" s="48"/>
      <c r="J52" s="48"/>
      <c r="K52" s="48"/>
      <c r="L52" s="34" t="str">
        <f t="shared" si="0"/>
        <v/>
      </c>
      <c r="M52" s="36">
        <f t="shared" si="1"/>
        <v>8</v>
      </c>
      <c r="N52" s="54"/>
    </row>
    <row r="53" spans="1:14" ht="31.2" x14ac:dyDescent="0.3">
      <c r="A53" s="29">
        <v>40</v>
      </c>
      <c r="B53" s="30" t="s">
        <v>24</v>
      </c>
      <c r="C53" s="30" t="s">
        <v>23</v>
      </c>
      <c r="D53" s="51"/>
      <c r="E53" s="40"/>
      <c r="F53" s="57"/>
      <c r="G53" s="34"/>
      <c r="H53" s="47"/>
      <c r="I53" s="48"/>
      <c r="J53" s="48"/>
      <c r="K53" s="48"/>
      <c r="L53" s="34" t="str">
        <f t="shared" si="0"/>
        <v/>
      </c>
      <c r="M53" s="36">
        <f t="shared" si="1"/>
        <v>8</v>
      </c>
      <c r="N53" s="54"/>
    </row>
    <row r="54" spans="1:14" ht="31.2" x14ac:dyDescent="0.3">
      <c r="A54" s="29">
        <v>41</v>
      </c>
      <c r="B54" s="30" t="s">
        <v>25</v>
      </c>
      <c r="C54" s="30" t="s">
        <v>23</v>
      </c>
      <c r="D54" s="51"/>
      <c r="E54" s="40"/>
      <c r="F54" s="33"/>
      <c r="G54" s="34"/>
      <c r="H54" s="47"/>
      <c r="I54" s="48"/>
      <c r="J54" s="48"/>
      <c r="K54" s="48"/>
      <c r="L54" s="34" t="str">
        <f t="shared" si="0"/>
        <v/>
      </c>
      <c r="M54" s="36">
        <f t="shared" si="1"/>
        <v>8</v>
      </c>
      <c r="N54" s="54"/>
    </row>
    <row r="55" spans="1:14" ht="31.2" x14ac:dyDescent="0.3">
      <c r="A55" s="29">
        <v>42</v>
      </c>
      <c r="B55" s="30" t="s">
        <v>25</v>
      </c>
      <c r="C55" s="30" t="s">
        <v>23</v>
      </c>
      <c r="D55" s="51"/>
      <c r="E55" s="40"/>
      <c r="F55" s="57"/>
      <c r="G55" s="34"/>
      <c r="H55" s="47"/>
      <c r="I55" s="48"/>
      <c r="J55" s="48"/>
      <c r="K55" s="48"/>
      <c r="L55" s="34" t="str">
        <f t="shared" si="0"/>
        <v/>
      </c>
      <c r="M55" s="36">
        <f t="shared" si="1"/>
        <v>8</v>
      </c>
      <c r="N55" s="54"/>
    </row>
    <row r="56" spans="1:14" ht="31.2" x14ac:dyDescent="0.3">
      <c r="A56" s="29"/>
      <c r="B56" s="30" t="s">
        <v>24</v>
      </c>
      <c r="C56" s="30" t="s">
        <v>27</v>
      </c>
      <c r="D56" s="51"/>
      <c r="E56" s="40"/>
      <c r="F56" s="57"/>
      <c r="G56" s="34"/>
      <c r="H56" s="47"/>
      <c r="I56" s="48"/>
      <c r="J56" s="48"/>
      <c r="K56" s="48"/>
      <c r="L56" s="34" t="str">
        <f t="shared" si="0"/>
        <v/>
      </c>
      <c r="M56" s="36">
        <f t="shared" si="1"/>
        <v>8</v>
      </c>
      <c r="N56" s="54"/>
    </row>
    <row r="57" spans="1:14" ht="31.2" x14ac:dyDescent="0.3">
      <c r="A57" s="29"/>
      <c r="B57" s="30" t="s">
        <v>25</v>
      </c>
      <c r="C57" s="30" t="s">
        <v>23</v>
      </c>
      <c r="D57" s="51"/>
      <c r="E57" s="40"/>
      <c r="F57" s="57"/>
      <c r="G57" s="34"/>
      <c r="H57" s="47"/>
      <c r="I57" s="48"/>
      <c r="J57" s="48"/>
      <c r="K57" s="48"/>
      <c r="L57" s="34" t="str">
        <f t="shared" si="0"/>
        <v/>
      </c>
      <c r="M57" s="36">
        <f t="shared" si="1"/>
        <v>8</v>
      </c>
      <c r="N57" s="54"/>
    </row>
    <row r="58" spans="1:14" ht="31.2" x14ac:dyDescent="0.3">
      <c r="A58" s="29">
        <v>43</v>
      </c>
      <c r="B58" s="30" t="s">
        <v>24</v>
      </c>
      <c r="C58" s="30" t="s">
        <v>23</v>
      </c>
      <c r="D58" s="52"/>
      <c r="E58" s="45"/>
      <c r="F58" s="57"/>
      <c r="G58" s="34"/>
      <c r="H58" s="47"/>
      <c r="I58" s="48"/>
      <c r="J58" s="48"/>
      <c r="K58" s="48"/>
      <c r="L58" s="34" t="str">
        <f t="shared" si="0"/>
        <v/>
      </c>
      <c r="M58" s="36">
        <f t="shared" si="1"/>
        <v>8</v>
      </c>
      <c r="N58" s="54"/>
    </row>
    <row r="59" spans="1:14" ht="31.2" x14ac:dyDescent="0.3">
      <c r="A59" s="29">
        <v>44</v>
      </c>
      <c r="B59" s="30" t="s">
        <v>22</v>
      </c>
      <c r="C59" s="30" t="s">
        <v>23</v>
      </c>
      <c r="D59" s="46"/>
      <c r="E59" s="32"/>
      <c r="F59" s="57"/>
      <c r="G59" s="34"/>
      <c r="H59" s="47"/>
      <c r="I59" s="48"/>
      <c r="J59" s="48"/>
      <c r="K59" s="48"/>
      <c r="L59" s="34" t="str">
        <f t="shared" si="0"/>
        <v/>
      </c>
      <c r="M59" s="36">
        <f t="shared" si="1"/>
        <v>8</v>
      </c>
      <c r="N59" s="54"/>
    </row>
    <row r="60" spans="1:14" ht="46.8" customHeight="1" x14ac:dyDescent="0.3">
      <c r="A60" s="29">
        <v>45</v>
      </c>
      <c r="B60" s="30" t="s">
        <v>22</v>
      </c>
      <c r="C60" s="30" t="s">
        <v>23</v>
      </c>
      <c r="D60" s="51"/>
      <c r="E60" s="40"/>
      <c r="F60" s="57"/>
      <c r="G60" s="34"/>
      <c r="H60" s="47"/>
      <c r="I60" s="48"/>
      <c r="J60" s="48"/>
      <c r="K60" s="48"/>
      <c r="L60" s="34" t="str">
        <f t="shared" si="0"/>
        <v/>
      </c>
      <c r="M60" s="36">
        <f t="shared" si="1"/>
        <v>8</v>
      </c>
      <c r="N60" s="54"/>
    </row>
    <row r="61" spans="1:14" ht="45.6" customHeight="1" x14ac:dyDescent="0.3">
      <c r="A61" s="29">
        <v>46</v>
      </c>
      <c r="B61" s="30" t="s">
        <v>22</v>
      </c>
      <c r="C61" s="30" t="s">
        <v>23</v>
      </c>
      <c r="D61" s="51"/>
      <c r="E61" s="40"/>
      <c r="F61" s="57"/>
      <c r="G61" s="34"/>
      <c r="H61" s="47"/>
      <c r="I61" s="48"/>
      <c r="J61" s="48"/>
      <c r="K61" s="48"/>
      <c r="L61" s="34" t="str">
        <f t="shared" si="0"/>
        <v/>
      </c>
      <c r="M61" s="36">
        <f t="shared" si="1"/>
        <v>8</v>
      </c>
      <c r="N61" s="54"/>
    </row>
    <row r="62" spans="1:14" x14ac:dyDescent="0.3">
      <c r="A62" s="29"/>
      <c r="B62" s="30" t="s">
        <v>25</v>
      </c>
      <c r="C62" s="30"/>
      <c r="D62" s="51"/>
      <c r="E62" s="40"/>
      <c r="F62" s="57"/>
      <c r="G62" s="34"/>
      <c r="H62" s="47"/>
      <c r="I62" s="48"/>
      <c r="J62" s="48"/>
      <c r="K62" s="49"/>
      <c r="L62" s="34" t="str">
        <f t="shared" si="0"/>
        <v/>
      </c>
      <c r="M62" s="36">
        <f t="shared" si="1"/>
        <v>8</v>
      </c>
      <c r="N62" s="54"/>
    </row>
    <row r="63" spans="1:14" ht="45.6" customHeight="1" x14ac:dyDescent="0.3">
      <c r="A63" s="29">
        <v>47</v>
      </c>
      <c r="B63" s="30" t="s">
        <v>24</v>
      </c>
      <c r="C63" s="30" t="s">
        <v>23</v>
      </c>
      <c r="D63" s="51"/>
      <c r="E63" s="40"/>
      <c r="F63" s="57"/>
      <c r="G63" s="34"/>
      <c r="H63" s="47"/>
      <c r="I63" s="48"/>
      <c r="J63" s="48"/>
      <c r="K63" s="49"/>
      <c r="L63" s="34" t="str">
        <f t="shared" si="0"/>
        <v/>
      </c>
      <c r="M63" s="36">
        <f t="shared" si="1"/>
        <v>8</v>
      </c>
      <c r="N63" s="54"/>
    </row>
    <row r="64" spans="1:14" ht="45.6" customHeight="1" x14ac:dyDescent="0.3">
      <c r="A64" s="29">
        <v>48</v>
      </c>
      <c r="B64" s="30"/>
      <c r="C64" s="30" t="s">
        <v>23</v>
      </c>
      <c r="D64" s="52"/>
      <c r="E64" s="45"/>
      <c r="F64" s="57"/>
      <c r="G64" s="34"/>
      <c r="H64" s="47"/>
      <c r="I64" s="48"/>
      <c r="J64" s="48"/>
      <c r="K64" s="49"/>
      <c r="L64" s="34" t="str">
        <f t="shared" si="0"/>
        <v/>
      </c>
      <c r="M64" s="36">
        <f t="shared" si="1"/>
        <v>8</v>
      </c>
      <c r="N64" s="54"/>
    </row>
    <row r="65" spans="1:14" ht="31.2" x14ac:dyDescent="0.3">
      <c r="A65" s="29">
        <v>49</v>
      </c>
      <c r="B65" s="30" t="s">
        <v>22</v>
      </c>
      <c r="C65" s="30" t="s">
        <v>23</v>
      </c>
      <c r="D65" s="46"/>
      <c r="E65" s="59"/>
      <c r="F65" s="57"/>
      <c r="G65" s="34"/>
      <c r="H65" s="47"/>
      <c r="I65" s="48"/>
      <c r="J65" s="48"/>
      <c r="K65" s="48"/>
      <c r="L65" s="34" t="str">
        <f t="shared" si="0"/>
        <v/>
      </c>
      <c r="M65" s="36">
        <f t="shared" si="1"/>
        <v>8</v>
      </c>
      <c r="N65" s="54"/>
    </row>
    <row r="66" spans="1:14" ht="31.2" x14ac:dyDescent="0.3">
      <c r="A66" s="29">
        <v>50</v>
      </c>
      <c r="B66" s="30" t="s">
        <v>22</v>
      </c>
      <c r="C66" s="30" t="s">
        <v>23</v>
      </c>
      <c r="D66" s="51"/>
      <c r="E66" s="60"/>
      <c r="F66" s="57"/>
      <c r="G66" s="34"/>
      <c r="H66" s="47"/>
      <c r="I66" s="48"/>
      <c r="J66" s="48"/>
      <c r="K66" s="48"/>
      <c r="L66" s="34" t="str">
        <f t="shared" si="0"/>
        <v/>
      </c>
      <c r="M66" s="36">
        <f t="shared" si="1"/>
        <v>8</v>
      </c>
      <c r="N66" s="54"/>
    </row>
    <row r="67" spans="1:14" ht="31.2" x14ac:dyDescent="0.3">
      <c r="A67" s="29">
        <v>51</v>
      </c>
      <c r="B67" s="30" t="s">
        <v>22</v>
      </c>
      <c r="C67" s="30" t="s">
        <v>23</v>
      </c>
      <c r="D67" s="51"/>
      <c r="E67" s="60"/>
      <c r="F67" s="57"/>
      <c r="G67" s="34"/>
      <c r="H67" s="47"/>
      <c r="I67" s="48"/>
      <c r="J67" s="48"/>
      <c r="K67" s="49"/>
      <c r="L67" s="34" t="str">
        <f t="shared" si="0"/>
        <v/>
      </c>
      <c r="M67" s="36">
        <f t="shared" si="1"/>
        <v>8</v>
      </c>
      <c r="N67" s="54"/>
    </row>
    <row r="68" spans="1:14" ht="31.2" x14ac:dyDescent="0.3">
      <c r="A68" s="29">
        <v>52</v>
      </c>
      <c r="B68" s="30" t="s">
        <v>22</v>
      </c>
      <c r="C68" s="30" t="s">
        <v>23</v>
      </c>
      <c r="D68" s="51"/>
      <c r="E68" s="60"/>
      <c r="F68" s="57"/>
      <c r="G68" s="34"/>
      <c r="H68" s="47"/>
      <c r="I68" s="48"/>
      <c r="J68" s="48"/>
      <c r="K68" s="49"/>
      <c r="L68" s="34" t="str">
        <f t="shared" si="0"/>
        <v/>
      </c>
      <c r="M68" s="36">
        <f t="shared" si="1"/>
        <v>8</v>
      </c>
      <c r="N68" s="54"/>
    </row>
    <row r="69" spans="1:14" ht="31.2" x14ac:dyDescent="0.3">
      <c r="A69" s="29">
        <v>53</v>
      </c>
      <c r="B69" s="30" t="s">
        <v>22</v>
      </c>
      <c r="C69" s="30" t="s">
        <v>23</v>
      </c>
      <c r="D69" s="61"/>
      <c r="E69" s="62"/>
      <c r="F69" s="63"/>
      <c r="G69" s="64"/>
      <c r="H69" s="65"/>
      <c r="I69" s="66"/>
      <c r="J69" s="66"/>
      <c r="K69" s="67"/>
      <c r="L69" s="34" t="str">
        <f t="shared" si="0"/>
        <v/>
      </c>
      <c r="M69" s="36">
        <f t="shared" si="1"/>
        <v>8</v>
      </c>
      <c r="N69" s="68"/>
    </row>
    <row r="70" spans="1:14" x14ac:dyDescent="0.3">
      <c r="A70" s="29">
        <v>54</v>
      </c>
      <c r="B70" s="69" t="s">
        <v>24</v>
      </c>
      <c r="C70" s="70" t="s">
        <v>28</v>
      </c>
      <c r="D70" s="71"/>
      <c r="E70" s="72"/>
      <c r="F70" s="73"/>
      <c r="G70" s="74"/>
      <c r="H70" s="65"/>
      <c r="I70" s="75"/>
      <c r="J70" s="76"/>
      <c r="K70" s="75"/>
      <c r="L70" s="34" t="str">
        <f t="shared" si="0"/>
        <v/>
      </c>
      <c r="M70" s="36">
        <f t="shared" si="1"/>
        <v>8</v>
      </c>
      <c r="N70" s="77"/>
    </row>
    <row r="71" spans="1:14" x14ac:dyDescent="0.3">
      <c r="A71" s="29">
        <v>55</v>
      </c>
      <c r="B71" s="69" t="s">
        <v>24</v>
      </c>
      <c r="C71" s="70" t="s">
        <v>28</v>
      </c>
      <c r="D71" s="78"/>
      <c r="E71" s="79"/>
      <c r="F71" s="73"/>
      <c r="G71" s="74"/>
      <c r="H71" s="65"/>
      <c r="I71" s="75"/>
      <c r="J71" s="76"/>
      <c r="K71" s="75"/>
      <c r="L71" s="34" t="str">
        <f t="shared" si="0"/>
        <v/>
      </c>
      <c r="M71" s="36">
        <f t="shared" si="1"/>
        <v>8</v>
      </c>
      <c r="N71" s="80"/>
    </row>
    <row r="72" spans="1:14" ht="45.6" customHeight="1" x14ac:dyDescent="0.3">
      <c r="A72" s="29">
        <v>56</v>
      </c>
      <c r="B72" s="69" t="s">
        <v>24</v>
      </c>
      <c r="C72" s="70" t="s">
        <v>28</v>
      </c>
      <c r="D72" s="78"/>
      <c r="E72" s="79"/>
      <c r="F72" s="73"/>
      <c r="G72" s="74"/>
      <c r="H72" s="65"/>
      <c r="I72" s="75"/>
      <c r="J72" s="75"/>
      <c r="K72" s="75"/>
      <c r="L72" s="34" t="str">
        <f t="shared" si="0"/>
        <v/>
      </c>
      <c r="M72" s="36">
        <f t="shared" si="1"/>
        <v>8</v>
      </c>
      <c r="N72" s="81"/>
    </row>
    <row r="73" spans="1:14" x14ac:dyDescent="0.3">
      <c r="A73" s="29">
        <v>57</v>
      </c>
      <c r="B73" s="69" t="s">
        <v>24</v>
      </c>
      <c r="C73" s="70" t="s">
        <v>28</v>
      </c>
      <c r="D73" s="82"/>
      <c r="E73" s="83"/>
      <c r="F73" s="73"/>
      <c r="G73" s="74"/>
      <c r="H73" s="65"/>
      <c r="I73" s="75"/>
      <c r="J73" s="75"/>
      <c r="K73" s="75"/>
      <c r="L73" s="34" t="str">
        <f t="shared" si="0"/>
        <v/>
      </c>
      <c r="M73" s="36">
        <f t="shared" si="1"/>
        <v>8</v>
      </c>
      <c r="N73" s="84"/>
    </row>
    <row r="74" spans="1:14" ht="67.2" customHeight="1" x14ac:dyDescent="0.3">
      <c r="A74" s="29">
        <v>58</v>
      </c>
      <c r="B74" s="69" t="s">
        <v>24</v>
      </c>
      <c r="C74" s="70" t="s">
        <v>28</v>
      </c>
      <c r="D74" s="71"/>
      <c r="E74" s="72"/>
      <c r="F74" s="73"/>
      <c r="G74" s="74"/>
      <c r="H74" s="65"/>
      <c r="I74" s="75"/>
      <c r="J74" s="75"/>
      <c r="K74" s="75"/>
      <c r="L74" s="34" t="str">
        <f t="shared" si="0"/>
        <v/>
      </c>
      <c r="M74" s="36">
        <f t="shared" si="1"/>
        <v>8</v>
      </c>
      <c r="N74" s="80"/>
    </row>
    <row r="75" spans="1:14" ht="37.200000000000003" customHeight="1" x14ac:dyDescent="0.3">
      <c r="A75" s="29">
        <v>59</v>
      </c>
      <c r="B75" s="69" t="s">
        <v>24</v>
      </c>
      <c r="C75" s="70" t="s">
        <v>28</v>
      </c>
      <c r="D75" s="78"/>
      <c r="E75" s="79"/>
      <c r="F75" s="73"/>
      <c r="G75" s="74"/>
      <c r="H75" s="65"/>
      <c r="I75" s="75"/>
      <c r="J75" s="75"/>
      <c r="K75" s="75"/>
      <c r="L75" s="34" t="str">
        <f t="shared" si="0"/>
        <v/>
      </c>
      <c r="M75" s="36">
        <f t="shared" si="1"/>
        <v>8</v>
      </c>
      <c r="N75" s="85"/>
    </row>
    <row r="76" spans="1:14" x14ac:dyDescent="0.3">
      <c r="A76" s="29">
        <v>60</v>
      </c>
      <c r="B76" s="69" t="s">
        <v>24</v>
      </c>
      <c r="C76" s="70" t="s">
        <v>28</v>
      </c>
      <c r="D76" s="78"/>
      <c r="E76" s="79"/>
      <c r="F76" s="86"/>
      <c r="G76" s="87"/>
      <c r="H76" s="65"/>
      <c r="I76" s="75"/>
      <c r="J76" s="75"/>
      <c r="K76" s="88"/>
      <c r="L76" s="34" t="str">
        <f t="shared" si="0"/>
        <v/>
      </c>
      <c r="M76" s="36">
        <f t="shared" si="1"/>
        <v>8</v>
      </c>
      <c r="N76" s="85"/>
    </row>
    <row r="77" spans="1:14" x14ac:dyDescent="0.3">
      <c r="A77" s="29">
        <v>61</v>
      </c>
      <c r="B77" s="69" t="s">
        <v>24</v>
      </c>
      <c r="C77" s="70" t="s">
        <v>28</v>
      </c>
      <c r="D77" s="78"/>
      <c r="E77" s="79"/>
      <c r="F77" s="86"/>
      <c r="G77" s="87"/>
      <c r="H77" s="65"/>
      <c r="I77" s="75"/>
      <c r="J77" s="76"/>
      <c r="K77" s="76"/>
      <c r="L77" s="34" t="str">
        <f t="shared" si="0"/>
        <v/>
      </c>
      <c r="M77" s="36">
        <f t="shared" ref="M77:M140" si="2">IF($L77="TERMINADO CON ATRASO",0,IF($L77="TERMINADO A TIEMPO",1,IF($L77="CON ATRASO","0",IF($L77="A TIEMPO","",8))))</f>
        <v>8</v>
      </c>
      <c r="N77" s="85"/>
    </row>
    <row r="78" spans="1:14" ht="36" customHeight="1" x14ac:dyDescent="0.3">
      <c r="A78" s="29">
        <v>62</v>
      </c>
      <c r="B78" s="69" t="s">
        <v>24</v>
      </c>
      <c r="C78" s="70" t="s">
        <v>28</v>
      </c>
      <c r="D78" s="78"/>
      <c r="E78" s="79"/>
      <c r="F78" s="86"/>
      <c r="G78" s="87"/>
      <c r="H78" s="65"/>
      <c r="I78" s="75"/>
      <c r="J78" s="76"/>
      <c r="K78" s="75"/>
      <c r="L78" s="34" t="str">
        <f t="shared" si="0"/>
        <v/>
      </c>
      <c r="M78" s="36">
        <f t="shared" si="2"/>
        <v>8</v>
      </c>
      <c r="N78" s="85"/>
    </row>
    <row r="79" spans="1:14" s="89" customFormat="1" ht="91.2" customHeight="1" x14ac:dyDescent="0.3">
      <c r="A79" s="29">
        <v>63</v>
      </c>
      <c r="B79" s="69" t="s">
        <v>24</v>
      </c>
      <c r="C79" s="70" t="s">
        <v>28</v>
      </c>
      <c r="D79" s="82"/>
      <c r="E79" s="83"/>
      <c r="F79" s="86"/>
      <c r="G79" s="87"/>
      <c r="H79" s="65"/>
      <c r="I79" s="75"/>
      <c r="J79" s="76"/>
      <c r="K79" s="76"/>
      <c r="L79" s="34" t="str">
        <f t="shared" si="0"/>
        <v/>
      </c>
      <c r="M79" s="36">
        <f t="shared" si="2"/>
        <v>8</v>
      </c>
      <c r="N79" s="81"/>
    </row>
    <row r="80" spans="1:14" s="90" customFormat="1" x14ac:dyDescent="0.3">
      <c r="A80" s="29">
        <v>64</v>
      </c>
      <c r="B80" s="69" t="s">
        <v>24</v>
      </c>
      <c r="C80" s="70" t="s">
        <v>28</v>
      </c>
      <c r="D80" s="71"/>
      <c r="E80" s="72"/>
      <c r="F80" s="73"/>
      <c r="G80" s="74"/>
      <c r="H80" s="65"/>
      <c r="I80" s="75"/>
      <c r="J80" s="76"/>
      <c r="K80" s="75"/>
      <c r="L80" s="34" t="str">
        <f t="shared" si="0"/>
        <v/>
      </c>
      <c r="M80" s="36">
        <f t="shared" si="2"/>
        <v>8</v>
      </c>
      <c r="N80" s="77"/>
    </row>
    <row r="81" spans="1:14" s="90" customFormat="1" ht="68.400000000000006" customHeight="1" x14ac:dyDescent="0.3">
      <c r="A81" s="29">
        <v>65</v>
      </c>
      <c r="B81" s="69" t="s">
        <v>24</v>
      </c>
      <c r="C81" s="70" t="s">
        <v>28</v>
      </c>
      <c r="D81" s="82"/>
      <c r="E81" s="83"/>
      <c r="F81" s="73"/>
      <c r="G81" s="74"/>
      <c r="H81" s="65"/>
      <c r="I81" s="75"/>
      <c r="J81" s="76"/>
      <c r="K81" s="75"/>
      <c r="L81" s="34" t="str">
        <f t="shared" si="0"/>
        <v/>
      </c>
      <c r="M81" s="36">
        <f t="shared" si="2"/>
        <v>8</v>
      </c>
      <c r="N81" s="84"/>
    </row>
    <row r="82" spans="1:14" x14ac:dyDescent="0.3">
      <c r="A82" s="29">
        <v>66</v>
      </c>
      <c r="B82" s="69" t="s">
        <v>24</v>
      </c>
      <c r="C82" s="70" t="s">
        <v>28</v>
      </c>
      <c r="D82" s="73"/>
      <c r="E82" s="91"/>
      <c r="F82" s="73"/>
      <c r="G82" s="74"/>
      <c r="H82" s="65"/>
      <c r="I82" s="75"/>
      <c r="J82" s="76"/>
      <c r="K82" s="75"/>
      <c r="L82" s="34" t="str">
        <f t="shared" ref="L82:L114" si="3">IF(AND(K82="",J82=""),"",IF(AND(OR(J82&gt;$N$7,J82=$N$7),K82=""),"A TIEMPO",IF(AND(K82="",J82&lt;$N$7),"CON ATRASO",IF(AND(OR(K82&lt;J82,K82=J82),OR(J82&gt;$N$7,J82&lt;$N$7)),"TERMINADO A TIEMPO",IF(K82&gt;J82,"TERMINADO CON ATRASO","")))))</f>
        <v/>
      </c>
      <c r="M82" s="36">
        <f t="shared" si="2"/>
        <v>8</v>
      </c>
      <c r="N82" s="85"/>
    </row>
    <row r="83" spans="1:14" x14ac:dyDescent="0.3">
      <c r="A83" s="29">
        <v>67</v>
      </c>
      <c r="B83" s="69" t="s">
        <v>24</v>
      </c>
      <c r="C83" s="70" t="s">
        <v>28</v>
      </c>
      <c r="D83" s="71"/>
      <c r="E83" s="91"/>
      <c r="F83" s="73"/>
      <c r="G83" s="74"/>
      <c r="H83" s="65"/>
      <c r="I83" s="75"/>
      <c r="J83" s="76"/>
      <c r="K83" s="88"/>
      <c r="L83" s="34" t="str">
        <f t="shared" si="3"/>
        <v/>
      </c>
      <c r="M83" s="36">
        <f t="shared" si="2"/>
        <v>8</v>
      </c>
      <c r="N83" s="80"/>
    </row>
    <row r="84" spans="1:14" x14ac:dyDescent="0.3">
      <c r="A84" s="29">
        <v>68</v>
      </c>
      <c r="B84" s="69" t="s">
        <v>24</v>
      </c>
      <c r="C84" s="70" t="s">
        <v>28</v>
      </c>
      <c r="D84" s="82"/>
      <c r="E84" s="91"/>
      <c r="F84" s="73"/>
      <c r="G84" s="74"/>
      <c r="H84" s="65"/>
      <c r="I84" s="75"/>
      <c r="J84" s="76"/>
      <c r="K84" s="75"/>
      <c r="L84" s="34" t="str">
        <f t="shared" si="3"/>
        <v/>
      </c>
      <c r="M84" s="36">
        <f t="shared" si="2"/>
        <v>8</v>
      </c>
      <c r="N84" s="85"/>
    </row>
    <row r="85" spans="1:14" x14ac:dyDescent="0.3">
      <c r="A85" s="29">
        <v>69</v>
      </c>
      <c r="B85" s="69" t="s">
        <v>24</v>
      </c>
      <c r="C85" s="70" t="s">
        <v>28</v>
      </c>
      <c r="D85" s="71"/>
      <c r="E85" s="72"/>
      <c r="F85" s="73"/>
      <c r="G85" s="74"/>
      <c r="H85" s="65"/>
      <c r="I85" s="75"/>
      <c r="J85" s="75"/>
      <c r="K85" s="75"/>
      <c r="L85" s="34" t="str">
        <f t="shared" si="3"/>
        <v/>
      </c>
      <c r="M85" s="36">
        <f t="shared" si="2"/>
        <v>8</v>
      </c>
      <c r="N85" s="85"/>
    </row>
    <row r="86" spans="1:14" ht="36.6" customHeight="1" x14ac:dyDescent="0.3">
      <c r="A86" s="29">
        <v>70</v>
      </c>
      <c r="B86" s="69" t="s">
        <v>24</v>
      </c>
      <c r="C86" s="70" t="s">
        <v>28</v>
      </c>
      <c r="D86" s="82"/>
      <c r="E86" s="83"/>
      <c r="F86" s="73"/>
      <c r="G86" s="74"/>
      <c r="H86" s="65"/>
      <c r="I86" s="75"/>
      <c r="J86" s="75"/>
      <c r="K86" s="75"/>
      <c r="L86" s="34" t="str">
        <f t="shared" si="3"/>
        <v/>
      </c>
      <c r="M86" s="36">
        <f t="shared" si="2"/>
        <v>8</v>
      </c>
      <c r="N86" s="81"/>
    </row>
    <row r="87" spans="1:14" ht="31.2" x14ac:dyDescent="0.3">
      <c r="A87" s="29">
        <v>71</v>
      </c>
      <c r="B87" s="69" t="s">
        <v>29</v>
      </c>
      <c r="C87" s="70" t="s">
        <v>28</v>
      </c>
      <c r="D87" s="71"/>
      <c r="E87" s="72"/>
      <c r="F87" s="73"/>
      <c r="G87" s="74"/>
      <c r="H87" s="65"/>
      <c r="I87" s="75"/>
      <c r="J87" s="75"/>
      <c r="K87" s="88"/>
      <c r="L87" s="34" t="str">
        <f t="shared" si="3"/>
        <v/>
      </c>
      <c r="M87" s="36">
        <f t="shared" si="2"/>
        <v>8</v>
      </c>
      <c r="N87" s="85"/>
    </row>
    <row r="88" spans="1:14" ht="31.2" x14ac:dyDescent="0.3">
      <c r="A88" s="29">
        <v>72</v>
      </c>
      <c r="B88" s="69" t="s">
        <v>29</v>
      </c>
      <c r="C88" s="70" t="s">
        <v>28</v>
      </c>
      <c r="D88" s="82"/>
      <c r="E88" s="83"/>
      <c r="F88" s="73"/>
      <c r="G88" s="74"/>
      <c r="H88" s="65"/>
      <c r="I88" s="75"/>
      <c r="J88" s="75"/>
      <c r="K88" s="75"/>
      <c r="L88" s="34" t="str">
        <f t="shared" si="3"/>
        <v/>
      </c>
      <c r="M88" s="36">
        <f t="shared" si="2"/>
        <v>8</v>
      </c>
      <c r="N88" s="85"/>
    </row>
    <row r="89" spans="1:14" x14ac:dyDescent="0.3">
      <c r="A89" s="29">
        <v>73</v>
      </c>
      <c r="B89" s="69" t="s">
        <v>25</v>
      </c>
      <c r="C89" s="70" t="s">
        <v>28</v>
      </c>
      <c r="D89" s="71"/>
      <c r="E89" s="72"/>
      <c r="F89" s="73"/>
      <c r="G89" s="74"/>
      <c r="H89" s="65"/>
      <c r="I89" s="75"/>
      <c r="J89" s="75"/>
      <c r="K89" s="88"/>
      <c r="L89" s="34" t="str">
        <f t="shared" si="3"/>
        <v/>
      </c>
      <c r="M89" s="36">
        <f t="shared" si="2"/>
        <v>8</v>
      </c>
      <c r="N89" s="85"/>
    </row>
    <row r="90" spans="1:14" ht="129" customHeight="1" x14ac:dyDescent="0.3">
      <c r="A90" s="29">
        <v>74</v>
      </c>
      <c r="B90" s="69" t="s">
        <v>25</v>
      </c>
      <c r="C90" s="70" t="s">
        <v>28</v>
      </c>
      <c r="D90" s="78"/>
      <c r="E90" s="79"/>
      <c r="F90" s="73"/>
      <c r="G90" s="74"/>
      <c r="H90" s="65"/>
      <c r="I90" s="75"/>
      <c r="J90" s="75"/>
      <c r="K90" s="75"/>
      <c r="L90" s="34" t="str">
        <f t="shared" si="3"/>
        <v/>
      </c>
      <c r="M90" s="36">
        <f t="shared" si="2"/>
        <v>8</v>
      </c>
      <c r="N90" s="80"/>
    </row>
    <row r="91" spans="1:14" ht="46.8" x14ac:dyDescent="0.3">
      <c r="A91" s="29">
        <v>75</v>
      </c>
      <c r="B91" s="69" t="s">
        <v>30</v>
      </c>
      <c r="C91" s="70" t="s">
        <v>28</v>
      </c>
      <c r="D91" s="78"/>
      <c r="E91" s="79"/>
      <c r="F91" s="73"/>
      <c r="G91" s="74"/>
      <c r="H91" s="65"/>
      <c r="I91" s="75"/>
      <c r="J91" s="75"/>
      <c r="K91" s="75"/>
      <c r="L91" s="34" t="str">
        <f t="shared" si="3"/>
        <v/>
      </c>
      <c r="M91" s="36">
        <f t="shared" si="2"/>
        <v>8</v>
      </c>
      <c r="N91" s="85"/>
    </row>
    <row r="92" spans="1:14" ht="46.8" x14ac:dyDescent="0.3">
      <c r="A92" s="29">
        <v>76</v>
      </c>
      <c r="B92" s="69" t="s">
        <v>30</v>
      </c>
      <c r="C92" s="70" t="s">
        <v>28</v>
      </c>
      <c r="D92" s="82"/>
      <c r="E92" s="83"/>
      <c r="F92" s="73"/>
      <c r="G92" s="74"/>
      <c r="H92" s="65"/>
      <c r="I92" s="75"/>
      <c r="J92" s="75"/>
      <c r="K92" s="88"/>
      <c r="L92" s="34" t="str">
        <f t="shared" si="3"/>
        <v/>
      </c>
      <c r="M92" s="36">
        <f t="shared" si="2"/>
        <v>8</v>
      </c>
      <c r="N92" s="85"/>
    </row>
    <row r="93" spans="1:14" x14ac:dyDescent="0.3">
      <c r="A93" s="29">
        <v>77</v>
      </c>
      <c r="B93" s="69" t="s">
        <v>25</v>
      </c>
      <c r="C93" s="70" t="s">
        <v>28</v>
      </c>
      <c r="D93" s="71"/>
      <c r="E93" s="72"/>
      <c r="F93" s="73"/>
      <c r="G93" s="74"/>
      <c r="H93" s="65"/>
      <c r="I93" s="75"/>
      <c r="J93" s="75"/>
      <c r="K93" s="88"/>
      <c r="L93" s="34" t="str">
        <f t="shared" si="3"/>
        <v/>
      </c>
      <c r="M93" s="36">
        <f t="shared" si="2"/>
        <v>8</v>
      </c>
      <c r="N93" s="85"/>
    </row>
    <row r="94" spans="1:14" ht="50.4" customHeight="1" x14ac:dyDescent="0.3">
      <c r="A94" s="29">
        <v>78</v>
      </c>
      <c r="B94" s="69" t="s">
        <v>25</v>
      </c>
      <c r="C94" s="70" t="s">
        <v>28</v>
      </c>
      <c r="D94" s="82"/>
      <c r="E94" s="83"/>
      <c r="F94" s="73"/>
      <c r="G94" s="74"/>
      <c r="H94" s="65"/>
      <c r="I94" s="75"/>
      <c r="J94" s="75"/>
      <c r="K94" s="75"/>
      <c r="L94" s="34" t="str">
        <f t="shared" si="3"/>
        <v/>
      </c>
      <c r="M94" s="36">
        <f t="shared" si="2"/>
        <v>8</v>
      </c>
      <c r="N94" s="85"/>
    </row>
    <row r="95" spans="1:14" x14ac:dyDescent="0.3">
      <c r="A95" s="29">
        <v>79</v>
      </c>
      <c r="B95" s="69" t="s">
        <v>25</v>
      </c>
      <c r="C95" s="70" t="s">
        <v>28</v>
      </c>
      <c r="D95" s="71"/>
      <c r="E95" s="72"/>
      <c r="F95" s="73"/>
      <c r="G95" s="74"/>
      <c r="H95" s="65"/>
      <c r="I95" s="75"/>
      <c r="J95" s="75"/>
      <c r="K95" s="75"/>
      <c r="L95" s="34" t="str">
        <f t="shared" si="3"/>
        <v/>
      </c>
      <c r="M95" s="36">
        <f t="shared" si="2"/>
        <v>8</v>
      </c>
      <c r="N95" s="85"/>
    </row>
    <row r="96" spans="1:14" x14ac:dyDescent="0.3">
      <c r="A96" s="29">
        <v>80</v>
      </c>
      <c r="B96" s="69" t="s">
        <v>25</v>
      </c>
      <c r="C96" s="70" t="s">
        <v>28</v>
      </c>
      <c r="D96" s="78"/>
      <c r="E96" s="79"/>
      <c r="F96" s="73"/>
      <c r="G96" s="74"/>
      <c r="H96" s="65"/>
      <c r="I96" s="75"/>
      <c r="J96" s="75"/>
      <c r="K96" s="88"/>
      <c r="L96" s="34" t="str">
        <f t="shared" si="3"/>
        <v/>
      </c>
      <c r="M96" s="36">
        <f t="shared" si="2"/>
        <v>8</v>
      </c>
      <c r="N96" s="85"/>
    </row>
    <row r="97" spans="1:14" ht="46.8" x14ac:dyDescent="0.3">
      <c r="A97" s="29">
        <v>81</v>
      </c>
      <c r="B97" s="69" t="s">
        <v>30</v>
      </c>
      <c r="C97" s="70" t="s">
        <v>28</v>
      </c>
      <c r="D97" s="78"/>
      <c r="E97" s="79"/>
      <c r="F97" s="73"/>
      <c r="G97" s="74"/>
      <c r="H97" s="65"/>
      <c r="I97" s="75"/>
      <c r="J97" s="75"/>
      <c r="K97" s="75"/>
      <c r="L97" s="34" t="str">
        <f t="shared" si="3"/>
        <v/>
      </c>
      <c r="M97" s="36">
        <f t="shared" si="2"/>
        <v>8</v>
      </c>
      <c r="N97" s="85"/>
    </row>
    <row r="98" spans="1:14" ht="25.8" customHeight="1" x14ac:dyDescent="0.3">
      <c r="A98" s="29">
        <v>82</v>
      </c>
      <c r="B98" s="69" t="s">
        <v>30</v>
      </c>
      <c r="C98" s="70" t="s">
        <v>28</v>
      </c>
      <c r="D98" s="78"/>
      <c r="E98" s="79"/>
      <c r="F98" s="73"/>
      <c r="G98" s="92"/>
      <c r="H98" s="65"/>
      <c r="I98" s="75"/>
      <c r="J98" s="75"/>
      <c r="K98" s="88"/>
      <c r="L98" s="34" t="str">
        <f t="shared" si="3"/>
        <v/>
      </c>
      <c r="M98" s="36">
        <f t="shared" si="2"/>
        <v>8</v>
      </c>
      <c r="N98" s="85"/>
    </row>
    <row r="99" spans="1:14" x14ac:dyDescent="0.3">
      <c r="A99" s="29">
        <v>83</v>
      </c>
      <c r="B99" s="69" t="s">
        <v>22</v>
      </c>
      <c r="C99" s="70" t="s">
        <v>28</v>
      </c>
      <c r="D99" s="78"/>
      <c r="E99" s="79"/>
      <c r="F99" s="73"/>
      <c r="G99" s="74"/>
      <c r="H99" s="65"/>
      <c r="I99" s="75"/>
      <c r="J99" s="75"/>
      <c r="K99" s="75"/>
      <c r="L99" s="34" t="str">
        <f t="shared" si="3"/>
        <v/>
      </c>
      <c r="M99" s="36">
        <f t="shared" si="2"/>
        <v>8</v>
      </c>
      <c r="N99" s="80"/>
    </row>
    <row r="100" spans="1:14" ht="31.2" x14ac:dyDescent="0.3">
      <c r="A100" s="29">
        <v>84</v>
      </c>
      <c r="B100" s="69" t="s">
        <v>25</v>
      </c>
      <c r="C100" s="70" t="s">
        <v>28</v>
      </c>
      <c r="D100" s="78"/>
      <c r="E100" s="79"/>
      <c r="F100" s="73"/>
      <c r="G100" s="74"/>
      <c r="H100" s="65"/>
      <c r="I100" s="75"/>
      <c r="J100" s="75"/>
      <c r="K100" s="75"/>
      <c r="L100" s="34" t="str">
        <f t="shared" si="3"/>
        <v/>
      </c>
      <c r="M100" s="36">
        <f t="shared" si="2"/>
        <v>8</v>
      </c>
      <c r="N100" s="85"/>
    </row>
    <row r="101" spans="1:14" ht="31.2" x14ac:dyDescent="0.3">
      <c r="A101" s="29"/>
      <c r="B101" s="69" t="s">
        <v>24</v>
      </c>
      <c r="C101" s="70"/>
      <c r="D101" s="78"/>
      <c r="E101" s="79"/>
      <c r="F101" s="73"/>
      <c r="G101" s="74"/>
      <c r="H101" s="65"/>
      <c r="I101" s="75"/>
      <c r="J101" s="75"/>
      <c r="K101" s="75"/>
      <c r="L101" s="34" t="str">
        <f t="shared" si="3"/>
        <v/>
      </c>
      <c r="M101" s="36">
        <f t="shared" si="2"/>
        <v>8</v>
      </c>
      <c r="N101" s="77"/>
    </row>
    <row r="102" spans="1:14" x14ac:dyDescent="0.3">
      <c r="A102" s="29">
        <v>85</v>
      </c>
      <c r="B102" s="69" t="s">
        <v>22</v>
      </c>
      <c r="C102" s="70" t="s">
        <v>28</v>
      </c>
      <c r="D102" s="82"/>
      <c r="E102" s="83"/>
      <c r="F102" s="73"/>
      <c r="G102" s="74"/>
      <c r="H102" s="65"/>
      <c r="I102" s="75"/>
      <c r="J102" s="75"/>
      <c r="K102" s="88"/>
      <c r="L102" s="34" t="str">
        <f t="shared" si="3"/>
        <v/>
      </c>
      <c r="M102" s="36">
        <f t="shared" si="2"/>
        <v>8</v>
      </c>
      <c r="N102" s="85"/>
    </row>
    <row r="103" spans="1:14" x14ac:dyDescent="0.3">
      <c r="A103" s="29">
        <v>86</v>
      </c>
      <c r="B103" s="69" t="s">
        <v>25</v>
      </c>
      <c r="C103" s="70" t="s">
        <v>28</v>
      </c>
      <c r="D103" s="73"/>
      <c r="E103" s="91"/>
      <c r="F103" s="73"/>
      <c r="G103" s="74"/>
      <c r="H103" s="65"/>
      <c r="I103" s="75"/>
      <c r="J103" s="75"/>
      <c r="K103" s="88"/>
      <c r="L103" s="34" t="str">
        <f t="shared" si="3"/>
        <v/>
      </c>
      <c r="M103" s="36">
        <f t="shared" si="2"/>
        <v>8</v>
      </c>
      <c r="N103" s="85"/>
    </row>
    <row r="104" spans="1:14" ht="32.4" customHeight="1" x14ac:dyDescent="0.3">
      <c r="A104" s="29">
        <v>87</v>
      </c>
      <c r="B104" s="69" t="s">
        <v>25</v>
      </c>
      <c r="C104" s="70" t="s">
        <v>28</v>
      </c>
      <c r="D104" s="71"/>
      <c r="E104" s="72"/>
      <c r="F104" s="73"/>
      <c r="G104" s="74"/>
      <c r="H104" s="65"/>
      <c r="I104" s="75"/>
      <c r="J104" s="75"/>
      <c r="K104" s="75"/>
      <c r="L104" s="34" t="str">
        <f t="shared" si="3"/>
        <v/>
      </c>
      <c r="M104" s="36">
        <f t="shared" si="2"/>
        <v>8</v>
      </c>
      <c r="N104" s="85"/>
    </row>
    <row r="105" spans="1:14" ht="31.2" x14ac:dyDescent="0.3">
      <c r="A105" s="29">
        <v>88</v>
      </c>
      <c r="B105" s="69" t="s">
        <v>25</v>
      </c>
      <c r="C105" s="70" t="s">
        <v>28</v>
      </c>
      <c r="D105" s="78"/>
      <c r="E105" s="79"/>
      <c r="F105" s="73"/>
      <c r="G105" s="74"/>
      <c r="H105" s="65"/>
      <c r="I105" s="75"/>
      <c r="J105" s="75"/>
      <c r="K105" s="75"/>
      <c r="L105" s="34" t="str">
        <f t="shared" si="3"/>
        <v/>
      </c>
      <c r="M105" s="36">
        <f t="shared" si="2"/>
        <v>8</v>
      </c>
      <c r="N105" s="77"/>
    </row>
    <row r="106" spans="1:14" x14ac:dyDescent="0.3">
      <c r="A106" s="29">
        <v>89</v>
      </c>
      <c r="B106" s="69" t="s">
        <v>22</v>
      </c>
      <c r="C106" s="70" t="s">
        <v>28</v>
      </c>
      <c r="D106" s="82"/>
      <c r="E106" s="83"/>
      <c r="F106" s="73"/>
      <c r="G106" s="74"/>
      <c r="H106" s="65"/>
      <c r="I106" s="75"/>
      <c r="J106" s="75"/>
      <c r="K106" s="88"/>
      <c r="L106" s="34" t="str">
        <f t="shared" si="3"/>
        <v/>
      </c>
      <c r="M106" s="36">
        <f t="shared" si="2"/>
        <v>8</v>
      </c>
      <c r="N106" s="85"/>
    </row>
    <row r="107" spans="1:14" ht="31.2" x14ac:dyDescent="0.3">
      <c r="A107" s="29">
        <v>90</v>
      </c>
      <c r="B107" s="69" t="s">
        <v>25</v>
      </c>
      <c r="C107" s="70" t="s">
        <v>28</v>
      </c>
      <c r="D107" s="81"/>
      <c r="E107" s="93"/>
      <c r="F107" s="94"/>
      <c r="G107" s="95"/>
      <c r="H107" s="65"/>
      <c r="I107" s="75"/>
      <c r="J107" s="75"/>
      <c r="K107" s="96"/>
      <c r="L107" s="34" t="str">
        <f t="shared" si="3"/>
        <v/>
      </c>
      <c r="M107" s="36">
        <f t="shared" si="2"/>
        <v>8</v>
      </c>
      <c r="N107" s="85"/>
    </row>
    <row r="108" spans="1:14" x14ac:dyDescent="0.3">
      <c r="A108" s="29">
        <v>91</v>
      </c>
      <c r="B108" s="69" t="s">
        <v>25</v>
      </c>
      <c r="C108" s="70" t="s">
        <v>28</v>
      </c>
      <c r="D108" s="97"/>
      <c r="E108" s="98"/>
      <c r="F108" s="94"/>
      <c r="G108" s="95"/>
      <c r="H108" s="65"/>
      <c r="I108" s="75"/>
      <c r="J108" s="75"/>
      <c r="K108" s="96"/>
      <c r="L108" s="34" t="str">
        <f t="shared" si="3"/>
        <v/>
      </c>
      <c r="M108" s="36">
        <f t="shared" si="2"/>
        <v>8</v>
      </c>
      <c r="N108" s="85"/>
    </row>
    <row r="109" spans="1:14" ht="31.2" x14ac:dyDescent="0.3">
      <c r="A109" s="29">
        <v>92</v>
      </c>
      <c r="B109" s="69" t="s">
        <v>25</v>
      </c>
      <c r="C109" s="70" t="s">
        <v>28</v>
      </c>
      <c r="D109" s="99"/>
      <c r="E109" s="100"/>
      <c r="G109" s="95"/>
      <c r="H109" s="65"/>
      <c r="I109" s="75"/>
      <c r="J109" s="75"/>
      <c r="K109" s="96"/>
      <c r="L109" s="34" t="str">
        <f t="shared" si="3"/>
        <v/>
      </c>
      <c r="M109" s="36">
        <f t="shared" si="2"/>
        <v>8</v>
      </c>
      <c r="N109" s="77"/>
    </row>
    <row r="110" spans="1:14" ht="31.2" x14ac:dyDescent="0.3">
      <c r="A110" s="29">
        <v>93</v>
      </c>
      <c r="B110" s="101" t="s">
        <v>25</v>
      </c>
      <c r="C110" s="102" t="s">
        <v>31</v>
      </c>
      <c r="D110" s="103"/>
      <c r="E110" s="104"/>
      <c r="F110" s="105"/>
      <c r="G110" s="34"/>
      <c r="H110" s="65"/>
      <c r="I110" s="35"/>
      <c r="J110" s="35"/>
      <c r="K110" s="96"/>
      <c r="L110" s="34" t="str">
        <f t="shared" si="3"/>
        <v/>
      </c>
      <c r="M110" s="36">
        <f t="shared" si="2"/>
        <v>8</v>
      </c>
      <c r="N110" s="85"/>
    </row>
    <row r="111" spans="1:14" ht="31.2" x14ac:dyDescent="0.3">
      <c r="A111" s="29">
        <v>94</v>
      </c>
      <c r="B111" s="101" t="s">
        <v>25</v>
      </c>
      <c r="C111" s="102" t="s">
        <v>31</v>
      </c>
      <c r="D111" s="106"/>
      <c r="E111" s="107"/>
      <c r="F111" s="105"/>
      <c r="G111" s="34"/>
      <c r="H111" s="65"/>
      <c r="I111" s="35"/>
      <c r="J111" s="35"/>
      <c r="K111" s="96"/>
      <c r="L111" s="34" t="str">
        <f t="shared" si="3"/>
        <v/>
      </c>
      <c r="M111" s="36">
        <f t="shared" si="2"/>
        <v>8</v>
      </c>
      <c r="N111" s="85"/>
    </row>
    <row r="112" spans="1:14" ht="31.2" x14ac:dyDescent="0.3">
      <c r="A112" s="29">
        <v>95</v>
      </c>
      <c r="B112" s="101" t="s">
        <v>25</v>
      </c>
      <c r="C112" s="102" t="s">
        <v>31</v>
      </c>
      <c r="D112" s="106"/>
      <c r="E112" s="107"/>
      <c r="F112" s="105"/>
      <c r="G112" s="34"/>
      <c r="H112" s="65"/>
      <c r="I112" s="35"/>
      <c r="J112" s="35"/>
      <c r="K112" s="96"/>
      <c r="L112" s="34" t="str">
        <f t="shared" si="3"/>
        <v/>
      </c>
      <c r="M112" s="36">
        <f t="shared" si="2"/>
        <v>8</v>
      </c>
      <c r="N112" s="85"/>
    </row>
    <row r="113" spans="1:14" ht="31.2" x14ac:dyDescent="0.3">
      <c r="A113" s="29">
        <v>96</v>
      </c>
      <c r="B113" s="101" t="s">
        <v>25</v>
      </c>
      <c r="C113" s="102" t="s">
        <v>31</v>
      </c>
      <c r="D113" s="106"/>
      <c r="E113" s="107"/>
      <c r="F113" s="105"/>
      <c r="G113" s="34"/>
      <c r="H113" s="65"/>
      <c r="I113" s="35"/>
      <c r="J113" s="75"/>
      <c r="K113" s="96"/>
      <c r="L113" s="34" t="str">
        <f t="shared" si="3"/>
        <v/>
      </c>
      <c r="M113" s="36">
        <f t="shared" si="2"/>
        <v>8</v>
      </c>
      <c r="N113" s="85"/>
    </row>
    <row r="114" spans="1:14" ht="31.2" x14ac:dyDescent="0.3">
      <c r="A114" s="29">
        <v>97</v>
      </c>
      <c r="B114" s="101" t="s">
        <v>25</v>
      </c>
      <c r="C114" s="102" t="s">
        <v>31</v>
      </c>
      <c r="D114" s="106"/>
      <c r="E114" s="107"/>
      <c r="F114" s="105"/>
      <c r="G114" s="34"/>
      <c r="H114" s="65"/>
      <c r="I114" s="35"/>
      <c r="J114" s="75"/>
      <c r="K114" s="81"/>
      <c r="L114" s="34" t="str">
        <f t="shared" si="3"/>
        <v/>
      </c>
      <c r="M114" s="36">
        <f t="shared" si="2"/>
        <v>8</v>
      </c>
      <c r="N114" s="85"/>
    </row>
    <row r="115" spans="1:14" ht="31.2" x14ac:dyDescent="0.3">
      <c r="A115" s="29">
        <v>98</v>
      </c>
      <c r="B115" s="101" t="s">
        <v>25</v>
      </c>
      <c r="C115" s="102" t="s">
        <v>31</v>
      </c>
      <c r="D115" s="106"/>
      <c r="E115" s="107"/>
      <c r="F115" s="94"/>
      <c r="G115" s="95"/>
      <c r="H115" s="65"/>
      <c r="I115" s="35"/>
      <c r="J115" s="75"/>
      <c r="K115" s="81"/>
      <c r="L115" s="34" t="str">
        <f t="shared" ref="L115:L163" si="4">IF(AND(K115="",J115=""),"",IF(AND(J115&gt;$N$7,K115=""),"A TIEMPO",IF(AND(K115="",J115&lt;$N$7),"CON ATRASO",IF(AND(OR(K115&lt;J115,K115=J115),J115&lt;$N$7),"TERMINADO A TIEMPO",IF(K115&gt;J115,"TERMINADO CON ATRASO","")))))</f>
        <v/>
      </c>
      <c r="M115" s="36">
        <f t="shared" si="2"/>
        <v>8</v>
      </c>
      <c r="N115" s="85"/>
    </row>
    <row r="116" spans="1:14" ht="31.2" x14ac:dyDescent="0.3">
      <c r="A116" s="29">
        <v>99</v>
      </c>
      <c r="B116" s="101" t="s">
        <v>24</v>
      </c>
      <c r="C116" s="102" t="s">
        <v>31</v>
      </c>
      <c r="D116" s="106"/>
      <c r="E116" s="107"/>
      <c r="F116" s="94"/>
      <c r="G116" s="95"/>
      <c r="H116" s="65"/>
      <c r="I116" s="35"/>
      <c r="J116" s="75"/>
      <c r="K116" s="96"/>
      <c r="L116" s="34" t="str">
        <f>IF(AND(K116="",J116=""),"",IF(AND(J116&gt;$N$7,K116=""),"A TIEMPO",IF(AND(K116="",J116&lt;$N$7),"CON ATRASO",IF(AND(OR(K116&lt;J116,K116=J116),J116&lt;$N$7),"TERMINADO A TIEMPO",IF(K116&gt;J116,"TERMINADO CON ATRASO","")))))</f>
        <v/>
      </c>
      <c r="M116" s="36">
        <f t="shared" si="2"/>
        <v>8</v>
      </c>
      <c r="N116" s="85"/>
    </row>
    <row r="117" spans="1:14" x14ac:dyDescent="0.3">
      <c r="A117" s="29">
        <v>100</v>
      </c>
      <c r="B117" s="29" t="s">
        <v>25</v>
      </c>
      <c r="C117" s="108" t="s">
        <v>32</v>
      </c>
      <c r="D117" s="109"/>
      <c r="E117" s="110"/>
      <c r="F117" s="111"/>
      <c r="G117" s="95"/>
      <c r="H117" s="65"/>
      <c r="I117" s="75"/>
      <c r="J117" s="75"/>
      <c r="K117" s="75"/>
      <c r="L117" s="34" t="str">
        <f t="shared" si="4"/>
        <v/>
      </c>
      <c r="M117" s="36">
        <f t="shared" si="2"/>
        <v>8</v>
      </c>
      <c r="N117" s="85"/>
    </row>
    <row r="118" spans="1:14" x14ac:dyDescent="0.3">
      <c r="A118" s="29">
        <v>101</v>
      </c>
      <c r="B118" s="29" t="s">
        <v>25</v>
      </c>
      <c r="C118" s="108" t="s">
        <v>32</v>
      </c>
      <c r="D118" s="112"/>
      <c r="E118" s="110"/>
      <c r="F118" s="111"/>
      <c r="G118" s="95"/>
      <c r="H118" s="65"/>
      <c r="I118" s="75"/>
      <c r="J118" s="75"/>
      <c r="K118" s="75"/>
      <c r="L118" s="34" t="str">
        <f t="shared" si="4"/>
        <v/>
      </c>
      <c r="M118" s="36">
        <f t="shared" si="2"/>
        <v>8</v>
      </c>
      <c r="N118" s="85"/>
    </row>
    <row r="119" spans="1:14" ht="31.2" x14ac:dyDescent="0.3">
      <c r="A119" s="29">
        <v>102</v>
      </c>
      <c r="B119" s="29" t="s">
        <v>25</v>
      </c>
      <c r="C119" s="108" t="s">
        <v>32</v>
      </c>
      <c r="D119" s="112"/>
      <c r="E119" s="110"/>
      <c r="F119" s="111"/>
      <c r="G119" s="95"/>
      <c r="H119" s="65"/>
      <c r="I119" s="75"/>
      <c r="J119" s="75"/>
      <c r="K119" s="96"/>
      <c r="L119" s="34" t="str">
        <f t="shared" si="4"/>
        <v/>
      </c>
      <c r="M119" s="36">
        <f t="shared" si="2"/>
        <v>8</v>
      </c>
      <c r="N119" s="85"/>
    </row>
    <row r="120" spans="1:14" ht="31.2" x14ac:dyDescent="0.3">
      <c r="A120" s="29">
        <v>103</v>
      </c>
      <c r="B120" s="29" t="s">
        <v>25</v>
      </c>
      <c r="C120" s="108" t="s">
        <v>32</v>
      </c>
      <c r="D120" s="112"/>
      <c r="E120" s="110"/>
      <c r="F120" s="111"/>
      <c r="G120" s="95"/>
      <c r="H120" s="65"/>
      <c r="I120" s="75"/>
      <c r="J120" s="75"/>
      <c r="K120" s="75"/>
      <c r="L120" s="34" t="str">
        <f t="shared" si="4"/>
        <v/>
      </c>
      <c r="M120" s="36">
        <f t="shared" si="2"/>
        <v>8</v>
      </c>
      <c r="N120" s="85"/>
    </row>
    <row r="121" spans="1:14" x14ac:dyDescent="0.3">
      <c r="A121" s="29">
        <v>104</v>
      </c>
      <c r="B121" s="29" t="s">
        <v>25</v>
      </c>
      <c r="C121" s="108" t="s">
        <v>32</v>
      </c>
      <c r="D121" s="112"/>
      <c r="E121" s="110"/>
      <c r="F121" s="111"/>
      <c r="G121" s="95"/>
      <c r="H121" s="65"/>
      <c r="I121" s="75"/>
      <c r="J121" s="75"/>
      <c r="K121" s="81"/>
      <c r="L121" s="34" t="str">
        <f t="shared" si="4"/>
        <v/>
      </c>
      <c r="M121" s="36">
        <f t="shared" si="2"/>
        <v>8</v>
      </c>
      <c r="N121" s="80"/>
    </row>
    <row r="122" spans="1:14" ht="31.2" x14ac:dyDescent="0.3">
      <c r="A122" s="29">
        <v>105</v>
      </c>
      <c r="B122" s="29" t="s">
        <v>25</v>
      </c>
      <c r="C122" s="108" t="s">
        <v>32</v>
      </c>
      <c r="D122" s="112"/>
      <c r="E122" s="110"/>
      <c r="F122" s="111"/>
      <c r="G122" s="95"/>
      <c r="H122" s="65"/>
      <c r="I122" s="75"/>
      <c r="J122" s="75"/>
      <c r="K122" s="96"/>
      <c r="L122" s="34" t="str">
        <f t="shared" si="4"/>
        <v/>
      </c>
      <c r="M122" s="36">
        <f t="shared" si="2"/>
        <v>8</v>
      </c>
      <c r="N122" s="85"/>
    </row>
    <row r="123" spans="1:14" ht="31.2" x14ac:dyDescent="0.3">
      <c r="A123" s="29">
        <v>106</v>
      </c>
      <c r="B123" s="29" t="s">
        <v>25</v>
      </c>
      <c r="C123" s="108" t="s">
        <v>32</v>
      </c>
      <c r="D123" s="112"/>
      <c r="E123" s="110"/>
      <c r="F123" s="111"/>
      <c r="G123" s="95"/>
      <c r="H123" s="65"/>
      <c r="I123" s="75"/>
      <c r="J123" s="75"/>
      <c r="K123" s="96"/>
      <c r="L123" s="34" t="str">
        <f t="shared" si="4"/>
        <v/>
      </c>
      <c r="M123" s="36">
        <f t="shared" si="2"/>
        <v>8</v>
      </c>
      <c r="N123" s="85"/>
    </row>
    <row r="124" spans="1:14" ht="31.2" x14ac:dyDescent="0.3">
      <c r="A124" s="29">
        <v>107</v>
      </c>
      <c r="B124" s="29" t="s">
        <v>25</v>
      </c>
      <c r="C124" s="108" t="s">
        <v>32</v>
      </c>
      <c r="D124" s="112"/>
      <c r="E124" s="110"/>
      <c r="F124" s="111"/>
      <c r="G124" s="95"/>
      <c r="H124" s="65"/>
      <c r="I124" s="75"/>
      <c r="J124" s="75"/>
      <c r="K124" s="96"/>
      <c r="L124" s="34" t="str">
        <f>IF(AND(K124="",J124=""),"",IF(AND(J124&gt;$N$7,K124=""),"A TIEMPO",IF(AND(K124="",J124&lt;$N$7),"CON ATRASO",IF(AND(OR(K124&lt;J124,K124=J124),J124&lt;$N$7),"TERMINADO A TIEMPO",IF(K124&gt;J124,"TERMINADO CON ATRASO","")))))</f>
        <v/>
      </c>
      <c r="M124" s="36">
        <f t="shared" si="2"/>
        <v>8</v>
      </c>
      <c r="N124" s="85"/>
    </row>
    <row r="125" spans="1:14" x14ac:dyDescent="0.3">
      <c r="A125" s="29">
        <v>108</v>
      </c>
      <c r="B125" s="29" t="s">
        <v>25</v>
      </c>
      <c r="C125" s="108" t="s">
        <v>32</v>
      </c>
      <c r="D125" s="112"/>
      <c r="E125" s="110"/>
      <c r="F125" s="111"/>
      <c r="G125" s="95"/>
      <c r="H125" s="65"/>
      <c r="I125" s="75"/>
      <c r="J125" s="75"/>
      <c r="K125" s="81"/>
      <c r="L125" s="34" t="str">
        <f t="shared" si="4"/>
        <v/>
      </c>
      <c r="M125" s="36">
        <f t="shared" si="2"/>
        <v>8</v>
      </c>
      <c r="N125" s="85"/>
    </row>
    <row r="126" spans="1:14" x14ac:dyDescent="0.3">
      <c r="A126" s="29">
        <v>109</v>
      </c>
      <c r="B126" s="29" t="s">
        <v>25</v>
      </c>
      <c r="C126" s="108" t="s">
        <v>32</v>
      </c>
      <c r="D126" s="112"/>
      <c r="E126" s="110"/>
      <c r="F126" s="111"/>
      <c r="G126" s="95"/>
      <c r="H126" s="65"/>
      <c r="I126" s="75"/>
      <c r="J126" s="75"/>
      <c r="K126" s="75"/>
      <c r="L126" s="34" t="str">
        <f t="shared" si="4"/>
        <v/>
      </c>
      <c r="M126" s="36">
        <f t="shared" si="2"/>
        <v>8</v>
      </c>
      <c r="N126" s="85"/>
    </row>
    <row r="127" spans="1:14" ht="31.2" x14ac:dyDescent="0.3">
      <c r="A127" s="29">
        <v>110</v>
      </c>
      <c r="B127" s="29" t="s">
        <v>25</v>
      </c>
      <c r="C127" s="108" t="s">
        <v>32</v>
      </c>
      <c r="D127" s="112"/>
      <c r="E127" s="110"/>
      <c r="F127" s="111"/>
      <c r="G127" s="95"/>
      <c r="H127" s="65"/>
      <c r="I127" s="75"/>
      <c r="J127" s="75"/>
      <c r="K127" s="96"/>
      <c r="L127" s="34" t="str">
        <f t="shared" si="4"/>
        <v/>
      </c>
      <c r="M127" s="36">
        <f t="shared" si="2"/>
        <v>8</v>
      </c>
      <c r="N127" s="85"/>
    </row>
    <row r="128" spans="1:14" ht="57" customHeight="1" x14ac:dyDescent="0.3">
      <c r="A128" s="29">
        <v>111</v>
      </c>
      <c r="B128" s="69" t="s">
        <v>24</v>
      </c>
      <c r="C128" s="113" t="s">
        <v>28</v>
      </c>
      <c r="D128" s="114"/>
      <c r="E128" s="115"/>
      <c r="F128" s="94"/>
      <c r="G128" s="95"/>
      <c r="H128" s="65"/>
      <c r="I128" s="75"/>
      <c r="J128" s="75"/>
      <c r="K128" s="96"/>
      <c r="L128" s="34" t="str">
        <f t="shared" si="4"/>
        <v/>
      </c>
      <c r="M128" s="36">
        <f t="shared" si="2"/>
        <v>8</v>
      </c>
      <c r="N128" s="85"/>
    </row>
    <row r="129" spans="1:14" ht="42.6" customHeight="1" x14ac:dyDescent="0.3">
      <c r="A129" s="29">
        <v>112</v>
      </c>
      <c r="B129" s="69" t="s">
        <v>25</v>
      </c>
      <c r="C129" s="113" t="s">
        <v>28</v>
      </c>
      <c r="D129" s="114"/>
      <c r="E129" s="111"/>
      <c r="F129" s="94"/>
      <c r="G129" s="95"/>
      <c r="H129" s="65"/>
      <c r="I129" s="75"/>
      <c r="J129" s="75"/>
      <c r="K129" s="81"/>
      <c r="L129" s="34" t="str">
        <f t="shared" si="4"/>
        <v/>
      </c>
      <c r="M129" s="36">
        <f t="shared" si="2"/>
        <v>8</v>
      </c>
      <c r="N129" s="85"/>
    </row>
    <row r="130" spans="1:14" ht="70.2" customHeight="1" x14ac:dyDescent="0.3">
      <c r="A130" s="29">
        <v>113</v>
      </c>
      <c r="B130" s="69" t="s">
        <v>24</v>
      </c>
      <c r="C130" s="113" t="s">
        <v>28</v>
      </c>
      <c r="D130" s="29"/>
      <c r="E130" s="111"/>
      <c r="F130" s="94"/>
      <c r="G130" s="95"/>
      <c r="H130" s="65"/>
      <c r="I130" s="75"/>
      <c r="J130" s="75"/>
      <c r="K130" s="96"/>
      <c r="L130" s="34" t="str">
        <f t="shared" si="4"/>
        <v/>
      </c>
      <c r="M130" s="36">
        <f t="shared" si="2"/>
        <v>8</v>
      </c>
      <c r="N130" s="85"/>
    </row>
    <row r="131" spans="1:14" ht="69" customHeight="1" x14ac:dyDescent="0.3">
      <c r="A131" s="29">
        <v>114</v>
      </c>
      <c r="B131" s="69" t="s">
        <v>24</v>
      </c>
      <c r="C131" s="113" t="s">
        <v>28</v>
      </c>
      <c r="D131" s="29"/>
      <c r="E131" s="111"/>
      <c r="F131" s="94"/>
      <c r="G131" s="95"/>
      <c r="H131" s="65"/>
      <c r="I131" s="75"/>
      <c r="J131" s="75"/>
      <c r="K131" s="96"/>
      <c r="L131" s="34" t="str">
        <f t="shared" si="4"/>
        <v/>
      </c>
      <c r="M131" s="36">
        <f t="shared" si="2"/>
        <v>8</v>
      </c>
      <c r="N131" s="85"/>
    </row>
    <row r="132" spans="1:14" ht="64.8" customHeight="1" x14ac:dyDescent="0.3">
      <c r="A132" s="29">
        <v>115</v>
      </c>
      <c r="B132" s="69" t="s">
        <v>24</v>
      </c>
      <c r="C132" s="113" t="s">
        <v>28</v>
      </c>
      <c r="D132" s="116"/>
      <c r="E132" s="111"/>
      <c r="F132" s="94"/>
      <c r="G132" s="95"/>
      <c r="H132" s="65"/>
      <c r="I132" s="75"/>
      <c r="J132" s="75"/>
      <c r="K132" s="96"/>
      <c r="L132" s="34" t="str">
        <f t="shared" si="4"/>
        <v/>
      </c>
      <c r="M132" s="36">
        <f t="shared" si="2"/>
        <v>8</v>
      </c>
      <c r="N132" s="85"/>
    </row>
    <row r="133" spans="1:14" x14ac:dyDescent="0.3">
      <c r="A133" s="29">
        <v>116</v>
      </c>
      <c r="B133" s="69" t="s">
        <v>24</v>
      </c>
      <c r="C133" s="113" t="s">
        <v>28</v>
      </c>
      <c r="D133" s="117"/>
      <c r="E133" s="94"/>
      <c r="G133" s="95"/>
      <c r="H133" s="65"/>
      <c r="I133" s="75"/>
      <c r="J133" s="75"/>
      <c r="K133" s="96"/>
      <c r="L133" s="34" t="str">
        <f t="shared" si="4"/>
        <v/>
      </c>
      <c r="M133" s="36">
        <f t="shared" si="2"/>
        <v>8</v>
      </c>
      <c r="N133" s="85"/>
    </row>
    <row r="134" spans="1:14" ht="39.6" customHeight="1" x14ac:dyDescent="0.3">
      <c r="A134" s="29">
        <v>117</v>
      </c>
      <c r="B134" s="69" t="s">
        <v>24</v>
      </c>
      <c r="C134" s="118" t="s">
        <v>28</v>
      </c>
      <c r="D134" s="119"/>
      <c r="E134" s="94"/>
      <c r="F134" s="94"/>
      <c r="G134" s="95"/>
      <c r="H134" s="65"/>
      <c r="I134" s="75"/>
      <c r="J134" s="75"/>
      <c r="K134" s="96"/>
      <c r="L134" s="34" t="str">
        <f t="shared" si="4"/>
        <v/>
      </c>
      <c r="M134" s="36">
        <f t="shared" si="2"/>
        <v>8</v>
      </c>
      <c r="N134" s="85"/>
    </row>
    <row r="135" spans="1:14" ht="39.6" customHeight="1" x14ac:dyDescent="0.3">
      <c r="A135" s="29">
        <v>118</v>
      </c>
      <c r="B135" s="69" t="s">
        <v>24</v>
      </c>
      <c r="C135" s="120"/>
      <c r="D135" s="121"/>
      <c r="E135" s="94"/>
      <c r="F135" s="94"/>
      <c r="G135" s="95"/>
      <c r="H135" s="65"/>
      <c r="I135" s="75"/>
      <c r="J135" s="75"/>
      <c r="K135" s="81"/>
      <c r="L135" s="34" t="str">
        <f t="shared" si="4"/>
        <v/>
      </c>
      <c r="M135" s="36">
        <f t="shared" si="2"/>
        <v>8</v>
      </c>
      <c r="N135" s="85"/>
    </row>
    <row r="136" spans="1:14" ht="39.6" customHeight="1" x14ac:dyDescent="0.3">
      <c r="A136" s="29">
        <v>119</v>
      </c>
      <c r="B136" s="69" t="s">
        <v>24</v>
      </c>
      <c r="C136" s="120"/>
      <c r="D136" s="121"/>
      <c r="E136" s="94"/>
      <c r="F136" s="94"/>
      <c r="G136" s="95"/>
      <c r="H136" s="65"/>
      <c r="I136" s="75"/>
      <c r="J136" s="75"/>
      <c r="K136" s="81"/>
      <c r="L136" s="34" t="str">
        <f t="shared" si="4"/>
        <v/>
      </c>
      <c r="M136" s="36">
        <f t="shared" si="2"/>
        <v>8</v>
      </c>
      <c r="N136" s="85"/>
    </row>
    <row r="137" spans="1:14" ht="39.6" customHeight="1" x14ac:dyDescent="0.3">
      <c r="A137" s="29">
        <v>120</v>
      </c>
      <c r="B137" s="69" t="s">
        <v>24</v>
      </c>
      <c r="C137" s="120"/>
      <c r="D137" s="121"/>
      <c r="E137" s="2"/>
      <c r="F137" s="94"/>
      <c r="G137" s="95"/>
      <c r="H137" s="65"/>
      <c r="I137" s="75"/>
      <c r="J137" s="75"/>
      <c r="K137" s="96"/>
      <c r="L137" s="34" t="str">
        <f t="shared" si="4"/>
        <v/>
      </c>
      <c r="M137" s="36">
        <f t="shared" si="2"/>
        <v>8</v>
      </c>
      <c r="N137" s="85"/>
    </row>
    <row r="138" spans="1:14" ht="39.6" customHeight="1" x14ac:dyDescent="0.3">
      <c r="A138" s="29"/>
      <c r="B138" s="69" t="s">
        <v>24</v>
      </c>
      <c r="C138" s="122"/>
      <c r="D138" s="121"/>
      <c r="E138" s="2"/>
      <c r="F138" s="94"/>
      <c r="G138" s="95"/>
      <c r="H138" s="65"/>
      <c r="I138" s="75"/>
      <c r="J138" s="75"/>
      <c r="K138" s="96"/>
      <c r="L138" s="34" t="str">
        <f t="shared" si="4"/>
        <v/>
      </c>
      <c r="M138" s="36">
        <f t="shared" si="2"/>
        <v>8</v>
      </c>
      <c r="N138" s="85"/>
    </row>
    <row r="139" spans="1:14" ht="39.6" customHeight="1" x14ac:dyDescent="0.3">
      <c r="A139" s="29"/>
      <c r="B139" s="69" t="s">
        <v>24</v>
      </c>
      <c r="C139" s="122"/>
      <c r="D139" s="121"/>
      <c r="E139" s="2"/>
      <c r="F139" s="94"/>
      <c r="G139" s="95"/>
      <c r="H139" s="65"/>
      <c r="I139" s="75"/>
      <c r="J139" s="75"/>
      <c r="K139" s="96"/>
      <c r="L139" s="34" t="str">
        <f t="shared" si="4"/>
        <v/>
      </c>
      <c r="M139" s="36">
        <f t="shared" si="2"/>
        <v>8</v>
      </c>
      <c r="N139" s="85"/>
    </row>
    <row r="140" spans="1:14" ht="39.6" customHeight="1" x14ac:dyDescent="0.3">
      <c r="A140" s="29"/>
      <c r="B140" s="69" t="s">
        <v>24</v>
      </c>
      <c r="C140" s="123"/>
      <c r="D140" s="124"/>
      <c r="E140" s="2"/>
      <c r="F140" s="94"/>
      <c r="G140" s="95"/>
      <c r="H140" s="65"/>
      <c r="I140" s="75"/>
      <c r="J140" s="75"/>
      <c r="K140" s="96"/>
      <c r="L140" s="34" t="str">
        <f t="shared" si="4"/>
        <v/>
      </c>
      <c r="M140" s="36">
        <f t="shared" si="2"/>
        <v>8</v>
      </c>
      <c r="N140" s="85"/>
    </row>
    <row r="141" spans="1:14" x14ac:dyDescent="0.3">
      <c r="A141" s="29">
        <v>120</v>
      </c>
      <c r="B141" s="13" t="s">
        <v>25</v>
      </c>
      <c r="C141" s="125" t="s">
        <v>33</v>
      </c>
      <c r="D141" s="94"/>
      <c r="E141" s="94"/>
      <c r="F141" s="94"/>
      <c r="G141" s="95"/>
      <c r="H141" s="65"/>
      <c r="I141" s="75"/>
      <c r="J141" s="75"/>
      <c r="K141" s="96"/>
      <c r="L141" s="34" t="str">
        <f t="shared" si="4"/>
        <v/>
      </c>
      <c r="M141" s="36">
        <f t="shared" ref="M141:M166" si="5">IF($L141="TERMINADO CON ATRASO",0,IF($L141="TERMINADO A TIEMPO",1,IF($L141="CON ATRASO","0",IF($L141="A TIEMPO","",8))))</f>
        <v>8</v>
      </c>
      <c r="N141" s="84"/>
    </row>
    <row r="142" spans="1:14" ht="118.2" customHeight="1" x14ac:dyDescent="0.3">
      <c r="A142" s="29">
        <v>121</v>
      </c>
      <c r="B142" s="13" t="s">
        <v>24</v>
      </c>
      <c r="C142" s="125" t="s">
        <v>33</v>
      </c>
      <c r="D142" s="94"/>
      <c r="E142" s="94"/>
      <c r="F142" s="94"/>
      <c r="G142" s="95"/>
      <c r="H142" s="65"/>
      <c r="I142" s="75"/>
      <c r="J142" s="75"/>
      <c r="K142" s="96"/>
      <c r="L142" s="34" t="str">
        <f>IF(AND(K142="",J142=""),"",IF(AND(J142&gt;$N$7,K142=""),"A TIEMPO",IF(AND(K142="",J142&lt;$N$7),"CON ATRASO",IF(AND(OR(K142&lt;J142,K142=J142),J142&lt;$N$7),"TERMINADO A TIEMPO",IF(K142&gt;J142,"TERMINADO CON ATRASO","")))))</f>
        <v/>
      </c>
      <c r="M142" s="36">
        <f t="shared" si="5"/>
        <v>8</v>
      </c>
      <c r="N142" s="84"/>
    </row>
    <row r="143" spans="1:14" ht="78.599999999999994" customHeight="1" x14ac:dyDescent="0.3">
      <c r="A143" s="29"/>
      <c r="B143" s="13" t="s">
        <v>25</v>
      </c>
      <c r="C143" s="125" t="s">
        <v>33</v>
      </c>
      <c r="D143" s="94"/>
      <c r="E143" s="94"/>
      <c r="F143" s="94"/>
      <c r="G143" s="95"/>
      <c r="H143" s="65"/>
      <c r="I143" s="75"/>
      <c r="J143" s="75"/>
      <c r="K143" s="81"/>
      <c r="L143" s="34" t="str">
        <f t="shared" ref="L143" si="6">IF(AND(K143="",J143=""),"",IF(AND(J143&gt;$N$7,K143=""),"A TIEMPO",IF(AND(K143="",J143&lt;$N$7),"CON ATRASO",IF(AND(OR(K143&lt;J143,K143=J143),J143&lt;$N$7),"TERMINADO A TIEMPO",IF(K143&gt;J143,"TERMINADO CON ATRASO","")))))</f>
        <v/>
      </c>
      <c r="M143" s="36">
        <f t="shared" si="5"/>
        <v>8</v>
      </c>
      <c r="N143" s="84"/>
    </row>
    <row r="144" spans="1:14" x14ac:dyDescent="0.3">
      <c r="A144" s="29">
        <v>122</v>
      </c>
      <c r="B144" s="13" t="s">
        <v>24</v>
      </c>
      <c r="C144" s="125" t="s">
        <v>33</v>
      </c>
      <c r="D144" s="94"/>
      <c r="E144" s="94"/>
      <c r="F144" s="94"/>
      <c r="G144" s="95"/>
      <c r="H144" s="65"/>
      <c r="I144" s="75"/>
      <c r="J144" s="75"/>
      <c r="K144" s="96"/>
      <c r="L144" s="34" t="str">
        <f t="shared" si="4"/>
        <v/>
      </c>
      <c r="M144" s="36">
        <f t="shared" si="5"/>
        <v>8</v>
      </c>
      <c r="N144" s="84"/>
    </row>
    <row r="145" spans="1:14" ht="115.2" customHeight="1" x14ac:dyDescent="0.3">
      <c r="A145" s="29">
        <v>123</v>
      </c>
      <c r="B145" s="13" t="s">
        <v>25</v>
      </c>
      <c r="C145" s="125" t="s">
        <v>33</v>
      </c>
      <c r="D145" s="94"/>
      <c r="E145" s="94"/>
      <c r="F145" s="94"/>
      <c r="G145" s="95"/>
      <c r="H145" s="65"/>
      <c r="I145" s="75"/>
      <c r="J145" s="96"/>
      <c r="K145" s="96"/>
      <c r="L145" s="34" t="str">
        <f t="shared" si="4"/>
        <v/>
      </c>
      <c r="M145" s="36">
        <f t="shared" si="5"/>
        <v>8</v>
      </c>
      <c r="N145" s="85"/>
    </row>
    <row r="146" spans="1:14" ht="99" customHeight="1" x14ac:dyDescent="0.3">
      <c r="A146" s="29">
        <v>124</v>
      </c>
      <c r="B146" s="13" t="s">
        <v>24</v>
      </c>
      <c r="C146" s="125" t="s">
        <v>33</v>
      </c>
      <c r="D146" s="94"/>
      <c r="E146" s="94"/>
      <c r="F146" s="94"/>
      <c r="G146" s="95"/>
      <c r="H146" s="65"/>
      <c r="I146" s="75"/>
      <c r="J146" s="96"/>
      <c r="K146" s="96"/>
      <c r="L146" s="34" t="str">
        <f t="shared" si="4"/>
        <v/>
      </c>
      <c r="M146" s="36">
        <f t="shared" si="5"/>
        <v>8</v>
      </c>
      <c r="N146" s="85"/>
    </row>
    <row r="147" spans="1:14" ht="102" customHeight="1" x14ac:dyDescent="0.3">
      <c r="A147" s="29">
        <v>125</v>
      </c>
      <c r="B147" s="13" t="s">
        <v>22</v>
      </c>
      <c r="C147" s="125" t="s">
        <v>33</v>
      </c>
      <c r="D147" s="94"/>
      <c r="E147" s="94"/>
      <c r="F147" s="94"/>
      <c r="G147" s="95"/>
      <c r="H147" s="65"/>
      <c r="I147" s="75"/>
      <c r="J147" s="96"/>
      <c r="K147" s="81"/>
      <c r="L147" s="34" t="str">
        <f t="shared" si="4"/>
        <v/>
      </c>
      <c r="M147" s="36">
        <f t="shared" si="5"/>
        <v>8</v>
      </c>
      <c r="N147" s="85"/>
    </row>
    <row r="148" spans="1:14" x14ac:dyDescent="0.3">
      <c r="A148" s="29">
        <v>126</v>
      </c>
      <c r="B148" s="13" t="s">
        <v>25</v>
      </c>
      <c r="C148" s="125" t="s">
        <v>33</v>
      </c>
      <c r="D148" s="94"/>
      <c r="E148" s="94"/>
      <c r="F148" s="94"/>
      <c r="G148" s="95"/>
      <c r="H148" s="65"/>
      <c r="I148" s="75"/>
      <c r="J148" s="96"/>
      <c r="K148" s="96"/>
      <c r="L148" s="34" t="str">
        <f t="shared" si="4"/>
        <v/>
      </c>
      <c r="M148" s="36">
        <f t="shared" si="5"/>
        <v>8</v>
      </c>
      <c r="N148" s="85"/>
    </row>
    <row r="149" spans="1:14" x14ac:dyDescent="0.3">
      <c r="A149" s="29">
        <v>127</v>
      </c>
      <c r="B149" s="13" t="s">
        <v>24</v>
      </c>
      <c r="C149" s="125" t="s">
        <v>33</v>
      </c>
      <c r="D149" s="94"/>
      <c r="E149" s="94"/>
      <c r="F149" s="94"/>
      <c r="G149" s="95"/>
      <c r="H149" s="65"/>
      <c r="I149" s="75"/>
      <c r="J149" s="96"/>
      <c r="K149" s="96"/>
      <c r="L149" s="34" t="str">
        <f t="shared" si="4"/>
        <v/>
      </c>
      <c r="M149" s="36">
        <f t="shared" si="5"/>
        <v>8</v>
      </c>
      <c r="N149" s="85"/>
    </row>
    <row r="150" spans="1:14" x14ac:dyDescent="0.3">
      <c r="A150" s="29">
        <v>128</v>
      </c>
      <c r="B150" s="13" t="s">
        <v>22</v>
      </c>
      <c r="C150" s="125" t="s">
        <v>33</v>
      </c>
      <c r="D150" s="94"/>
      <c r="E150" s="94"/>
      <c r="F150" s="94"/>
      <c r="G150" s="95"/>
      <c r="H150" s="65"/>
      <c r="I150" s="75"/>
      <c r="J150" s="96"/>
      <c r="K150" s="96"/>
      <c r="L150" s="34" t="str">
        <f t="shared" si="4"/>
        <v/>
      </c>
      <c r="M150" s="36">
        <f t="shared" si="5"/>
        <v>8</v>
      </c>
      <c r="N150" s="85"/>
    </row>
    <row r="151" spans="1:14" x14ac:dyDescent="0.3">
      <c r="A151" s="29">
        <v>129</v>
      </c>
      <c r="B151" s="13" t="s">
        <v>25</v>
      </c>
      <c r="C151" s="125" t="s">
        <v>33</v>
      </c>
      <c r="D151" s="94"/>
      <c r="E151" s="94"/>
      <c r="F151" s="94"/>
      <c r="G151" s="95"/>
      <c r="H151" s="65"/>
      <c r="I151" s="75"/>
      <c r="J151" s="96"/>
      <c r="K151" s="96"/>
      <c r="L151" s="34" t="str">
        <f t="shared" si="4"/>
        <v/>
      </c>
      <c r="M151" s="36">
        <f t="shared" si="5"/>
        <v>8</v>
      </c>
      <c r="N151" s="85"/>
    </row>
    <row r="152" spans="1:14" x14ac:dyDescent="0.3">
      <c r="A152" s="29">
        <v>130</v>
      </c>
      <c r="B152" s="13" t="s">
        <v>24</v>
      </c>
      <c r="C152" s="125" t="s">
        <v>33</v>
      </c>
      <c r="D152" s="94"/>
      <c r="E152" s="94"/>
      <c r="F152" s="94"/>
      <c r="G152" s="95"/>
      <c r="H152" s="65"/>
      <c r="I152" s="75"/>
      <c r="J152" s="126"/>
      <c r="K152" s="96"/>
      <c r="L152" s="34" t="str">
        <f t="shared" si="4"/>
        <v/>
      </c>
      <c r="M152" s="36">
        <f t="shared" si="5"/>
        <v>8</v>
      </c>
      <c r="N152" s="85"/>
    </row>
    <row r="153" spans="1:14" x14ac:dyDescent="0.3">
      <c r="A153" s="29">
        <v>131</v>
      </c>
      <c r="B153" s="13" t="s">
        <v>24</v>
      </c>
      <c r="C153" s="125" t="s">
        <v>33</v>
      </c>
      <c r="D153" s="94"/>
      <c r="E153" s="94"/>
      <c r="F153" s="94"/>
      <c r="G153" s="95"/>
      <c r="H153" s="65"/>
      <c r="I153" s="75"/>
      <c r="J153" s="96"/>
      <c r="K153" s="96"/>
      <c r="L153" s="34" t="str">
        <f t="shared" si="4"/>
        <v/>
      </c>
      <c r="M153" s="36">
        <f t="shared" si="5"/>
        <v>8</v>
      </c>
      <c r="N153" s="85"/>
    </row>
    <row r="154" spans="1:14" x14ac:dyDescent="0.3">
      <c r="A154" s="29">
        <v>132</v>
      </c>
      <c r="B154" s="13" t="s">
        <v>22</v>
      </c>
      <c r="C154" s="125" t="s">
        <v>33</v>
      </c>
      <c r="D154" s="81"/>
      <c r="E154" s="94"/>
      <c r="F154" s="94"/>
      <c r="G154" s="95"/>
      <c r="H154" s="65"/>
      <c r="I154" s="75"/>
      <c r="J154" s="96"/>
      <c r="K154" s="96"/>
      <c r="L154" s="34" t="str">
        <f t="shared" si="4"/>
        <v/>
      </c>
      <c r="M154" s="36">
        <f t="shared" si="5"/>
        <v>8</v>
      </c>
      <c r="N154" s="85"/>
    </row>
    <row r="155" spans="1:14" ht="224.4" customHeight="1" x14ac:dyDescent="0.3">
      <c r="A155" s="29">
        <v>133</v>
      </c>
      <c r="B155" s="13" t="s">
        <v>22</v>
      </c>
      <c r="C155" s="125" t="s">
        <v>33</v>
      </c>
      <c r="D155" s="81"/>
      <c r="E155" s="94"/>
      <c r="F155" s="94"/>
      <c r="G155" s="95"/>
      <c r="H155" s="65"/>
      <c r="I155" s="75"/>
      <c r="J155" s="96"/>
      <c r="K155" s="96"/>
      <c r="L155" s="34" t="str">
        <f t="shared" si="4"/>
        <v/>
      </c>
      <c r="M155" s="36">
        <f t="shared" si="5"/>
        <v>8</v>
      </c>
      <c r="N155" s="85"/>
    </row>
    <row r="156" spans="1:14" x14ac:dyDescent="0.3">
      <c r="A156" s="29">
        <v>134</v>
      </c>
      <c r="B156" s="13" t="s">
        <v>22</v>
      </c>
      <c r="C156" s="125" t="s">
        <v>33</v>
      </c>
      <c r="D156" s="94"/>
      <c r="E156" s="94"/>
      <c r="F156" s="127"/>
      <c r="G156" s="95"/>
      <c r="H156" s="65"/>
      <c r="I156" s="75"/>
      <c r="J156" s="96"/>
      <c r="K156" s="96"/>
      <c r="L156" s="34" t="str">
        <f t="shared" si="4"/>
        <v/>
      </c>
      <c r="M156" s="36">
        <f t="shared" si="5"/>
        <v>8</v>
      </c>
      <c r="N156" s="85"/>
    </row>
    <row r="157" spans="1:14" x14ac:dyDescent="0.3">
      <c r="A157" s="29">
        <v>135</v>
      </c>
      <c r="B157" s="13" t="s">
        <v>24</v>
      </c>
      <c r="C157" s="125" t="s">
        <v>33</v>
      </c>
      <c r="D157" s="94"/>
      <c r="E157" s="94"/>
      <c r="F157" s="94"/>
      <c r="G157" s="95"/>
      <c r="H157" s="65"/>
      <c r="I157" s="75"/>
      <c r="J157" s="96"/>
      <c r="K157" s="96"/>
      <c r="L157" s="34" t="str">
        <f t="shared" si="4"/>
        <v/>
      </c>
      <c r="M157" s="36">
        <f t="shared" si="5"/>
        <v>8</v>
      </c>
      <c r="N157" s="85"/>
    </row>
    <row r="158" spans="1:14" x14ac:dyDescent="0.3">
      <c r="A158" s="29">
        <v>136</v>
      </c>
      <c r="B158" s="13" t="s">
        <v>24</v>
      </c>
      <c r="C158" s="125" t="s">
        <v>33</v>
      </c>
      <c r="D158" s="94"/>
      <c r="E158" s="94"/>
      <c r="F158" s="94"/>
      <c r="G158" s="95"/>
      <c r="H158" s="94"/>
      <c r="I158" s="75"/>
      <c r="J158" s="96"/>
      <c r="K158" s="96"/>
      <c r="L158" s="34" t="str">
        <f t="shared" si="4"/>
        <v/>
      </c>
      <c r="M158" s="36">
        <f t="shared" si="5"/>
        <v>8</v>
      </c>
      <c r="N158" s="85"/>
    </row>
    <row r="159" spans="1:14" ht="31.2" x14ac:dyDescent="0.3">
      <c r="A159" s="29">
        <v>137</v>
      </c>
      <c r="B159" s="13" t="s">
        <v>24</v>
      </c>
      <c r="C159" s="125" t="s">
        <v>33</v>
      </c>
      <c r="D159" s="94"/>
      <c r="E159" s="94"/>
      <c r="F159" s="94"/>
      <c r="G159" s="95"/>
      <c r="H159" s="94"/>
      <c r="I159" s="75"/>
      <c r="J159" s="96"/>
      <c r="K159" s="96"/>
      <c r="L159" s="34" t="str">
        <f t="shared" si="4"/>
        <v/>
      </c>
      <c r="M159" s="36">
        <f t="shared" si="5"/>
        <v>8</v>
      </c>
      <c r="N159" s="85"/>
    </row>
    <row r="160" spans="1:14" x14ac:dyDescent="0.3">
      <c r="A160" s="29">
        <v>138</v>
      </c>
      <c r="B160" s="13" t="s">
        <v>24</v>
      </c>
      <c r="C160" s="125" t="s">
        <v>33</v>
      </c>
      <c r="D160" s="94"/>
      <c r="E160" s="94"/>
      <c r="F160" s="94"/>
      <c r="G160" s="95"/>
      <c r="H160" s="94"/>
      <c r="I160" s="96"/>
      <c r="J160" s="96"/>
      <c r="K160" s="81"/>
      <c r="L160" s="34" t="str">
        <f t="shared" si="4"/>
        <v/>
      </c>
      <c r="M160" s="36">
        <f t="shared" si="5"/>
        <v>8</v>
      </c>
      <c r="N160" s="85"/>
    </row>
    <row r="161" spans="1:14" x14ac:dyDescent="0.3">
      <c r="A161" s="29">
        <v>139</v>
      </c>
      <c r="B161" s="13" t="s">
        <v>22</v>
      </c>
      <c r="C161" s="125" t="s">
        <v>33</v>
      </c>
      <c r="D161" s="94"/>
      <c r="E161" s="94"/>
      <c r="F161" s="94"/>
      <c r="G161" s="95"/>
      <c r="H161" s="94"/>
      <c r="I161" s="96"/>
      <c r="J161" s="96"/>
      <c r="K161" s="81"/>
      <c r="L161" s="34" t="str">
        <f t="shared" si="4"/>
        <v/>
      </c>
      <c r="M161" s="36">
        <f t="shared" si="5"/>
        <v>8</v>
      </c>
      <c r="N161" s="85"/>
    </row>
    <row r="162" spans="1:14" ht="62.4" customHeight="1" x14ac:dyDescent="0.3">
      <c r="A162" s="29">
        <v>140</v>
      </c>
      <c r="B162" s="13" t="s">
        <v>24</v>
      </c>
      <c r="C162" s="125" t="s">
        <v>33</v>
      </c>
      <c r="D162" s="94"/>
      <c r="E162" s="94"/>
      <c r="F162" s="94"/>
      <c r="G162" s="95"/>
      <c r="H162" s="94"/>
      <c r="I162" s="96"/>
      <c r="J162" s="96"/>
      <c r="K162" s="96"/>
      <c r="L162" s="34" t="str">
        <f t="shared" si="4"/>
        <v/>
      </c>
      <c r="M162" s="36">
        <f t="shared" si="5"/>
        <v>8</v>
      </c>
      <c r="N162" s="85"/>
    </row>
    <row r="163" spans="1:14" x14ac:dyDescent="0.3">
      <c r="A163" s="29">
        <v>141</v>
      </c>
      <c r="B163" s="13" t="s">
        <v>22</v>
      </c>
      <c r="C163" s="125" t="s">
        <v>33</v>
      </c>
      <c r="D163" s="94"/>
      <c r="E163" s="94"/>
      <c r="F163" s="94"/>
      <c r="G163" s="95"/>
      <c r="H163" s="94"/>
      <c r="I163" s="96"/>
      <c r="J163" s="96"/>
      <c r="K163" s="81"/>
      <c r="L163" s="34" t="str">
        <f t="shared" si="4"/>
        <v/>
      </c>
      <c r="M163" s="36">
        <f t="shared" si="5"/>
        <v>8</v>
      </c>
      <c r="N163" s="85"/>
    </row>
    <row r="164" spans="1:14" x14ac:dyDescent="0.3">
      <c r="A164" s="29">
        <v>142</v>
      </c>
      <c r="B164" s="13" t="s">
        <v>24</v>
      </c>
      <c r="C164" s="125" t="s">
        <v>33</v>
      </c>
      <c r="D164" s="94"/>
      <c r="E164" s="94"/>
      <c r="F164" s="94"/>
      <c r="G164" s="95"/>
      <c r="H164" s="94"/>
      <c r="I164" s="96"/>
      <c r="J164" s="96"/>
      <c r="K164" s="96"/>
      <c r="L164" s="34" t="str">
        <f t="shared" ref="L164:L166" si="7">IF(AND(K164="",J164=""),"",IF(AND(J164&gt;$N$7,K164=""),"A TIEMPO",IF(AND(OR(K164&lt;J164,K164=J164),J164&lt;$N$7),"TERMINADO A TIEMPO",IF(AND(K164="",J164&lt;$N$7),"CON ATRASO",IF(K164&gt;J164,"TERMINADO CON ATRASO")))))</f>
        <v/>
      </c>
      <c r="M164" s="36">
        <f t="shared" si="5"/>
        <v>8</v>
      </c>
      <c r="N164" s="85"/>
    </row>
    <row r="165" spans="1:14" ht="31.2" x14ac:dyDescent="0.3">
      <c r="A165" s="29">
        <v>143</v>
      </c>
      <c r="B165" s="13" t="s">
        <v>24</v>
      </c>
      <c r="C165" s="125" t="s">
        <v>33</v>
      </c>
      <c r="D165" s="94"/>
      <c r="E165" s="94"/>
      <c r="F165" s="94"/>
      <c r="G165" s="95"/>
      <c r="H165" s="94"/>
      <c r="I165" s="96"/>
      <c r="J165" s="96"/>
      <c r="K165" s="96"/>
      <c r="L165" s="34" t="str">
        <f t="shared" si="7"/>
        <v/>
      </c>
      <c r="M165" s="36">
        <f t="shared" si="5"/>
        <v>8</v>
      </c>
      <c r="N165" s="85"/>
    </row>
    <row r="166" spans="1:14" ht="31.2" x14ac:dyDescent="0.3">
      <c r="A166" s="29">
        <v>144</v>
      </c>
      <c r="B166" s="13" t="s">
        <v>24</v>
      </c>
      <c r="C166" s="125" t="s">
        <v>33</v>
      </c>
      <c r="D166" s="94"/>
      <c r="E166" s="94"/>
      <c r="F166" s="94"/>
      <c r="G166" s="95"/>
      <c r="H166" s="94"/>
      <c r="I166" s="96"/>
      <c r="J166" s="96"/>
      <c r="K166" s="96"/>
      <c r="L166" s="34" t="str">
        <f t="shared" si="7"/>
        <v/>
      </c>
      <c r="M166" s="36">
        <f t="shared" si="5"/>
        <v>8</v>
      </c>
      <c r="N166" s="85"/>
    </row>
    <row r="167" spans="1:14" x14ac:dyDescent="0.3">
      <c r="A167" s="29">
        <v>145</v>
      </c>
      <c r="B167" s="13" t="s">
        <v>24</v>
      </c>
      <c r="C167" s="125" t="s">
        <v>34</v>
      </c>
      <c r="D167" s="81"/>
      <c r="E167" s="94"/>
      <c r="F167" s="94"/>
      <c r="G167" s="95"/>
      <c r="H167" s="94"/>
      <c r="I167" s="81"/>
      <c r="J167" s="81"/>
      <c r="K167" s="81"/>
      <c r="L167" s="81"/>
      <c r="M167" s="34"/>
      <c r="N167" s="85"/>
    </row>
    <row r="168" spans="1:14" x14ac:dyDescent="0.3">
      <c r="A168" s="29">
        <v>146</v>
      </c>
      <c r="B168" s="13"/>
      <c r="C168" s="125" t="s">
        <v>33</v>
      </c>
      <c r="D168" s="81"/>
      <c r="E168" s="94"/>
      <c r="F168" s="94"/>
      <c r="G168" s="95"/>
      <c r="H168" s="94"/>
      <c r="I168" s="81"/>
      <c r="J168" s="81"/>
      <c r="K168" s="81"/>
      <c r="L168" s="81"/>
      <c r="M168" s="34"/>
      <c r="N168" s="85"/>
    </row>
    <row r="169" spans="1:14" x14ac:dyDescent="0.3">
      <c r="A169" s="29">
        <v>147</v>
      </c>
      <c r="B169" s="13"/>
      <c r="C169" s="125" t="s">
        <v>33</v>
      </c>
      <c r="D169" s="81"/>
      <c r="E169" s="94"/>
      <c r="F169" s="94"/>
      <c r="G169" s="95"/>
      <c r="H169" s="94"/>
      <c r="I169" s="81"/>
      <c r="J169" s="81"/>
      <c r="K169" s="81"/>
      <c r="L169" s="81"/>
      <c r="M169" s="81"/>
      <c r="N169" s="85"/>
    </row>
  </sheetData>
  <autoFilter ref="A10:N169" xr:uid="{00000000-0001-0000-0000-000000000000}"/>
  <dataConsolidate>
    <dataRefs count="1">
      <dataRef ref="P3:P6" sheet="PA # 1 Combustible" r:id="rId1"/>
    </dataRefs>
  </dataConsolidate>
  <mergeCells count="62">
    <mergeCell ref="C134:C137"/>
    <mergeCell ref="D134:D140"/>
    <mergeCell ref="D110:D116"/>
    <mergeCell ref="E110:E116"/>
    <mergeCell ref="D117:D127"/>
    <mergeCell ref="E117:E127"/>
    <mergeCell ref="D128:D129"/>
    <mergeCell ref="D132:D133"/>
    <mergeCell ref="D95:D102"/>
    <mergeCell ref="E95:E102"/>
    <mergeCell ref="D104:D106"/>
    <mergeCell ref="E104:E106"/>
    <mergeCell ref="D108:D109"/>
    <mergeCell ref="E108:E109"/>
    <mergeCell ref="D87:D88"/>
    <mergeCell ref="E87:E88"/>
    <mergeCell ref="D89:D92"/>
    <mergeCell ref="E89:E92"/>
    <mergeCell ref="D93:D94"/>
    <mergeCell ref="E93:E94"/>
    <mergeCell ref="D74:D79"/>
    <mergeCell ref="E74:E79"/>
    <mergeCell ref="D80:D81"/>
    <mergeCell ref="E80:E81"/>
    <mergeCell ref="D83:D84"/>
    <mergeCell ref="D85:D86"/>
    <mergeCell ref="E85:E86"/>
    <mergeCell ref="D59:D64"/>
    <mergeCell ref="E59:E64"/>
    <mergeCell ref="D65:D69"/>
    <mergeCell ref="E65:E69"/>
    <mergeCell ref="D70:D73"/>
    <mergeCell ref="E70:E73"/>
    <mergeCell ref="D35:D39"/>
    <mergeCell ref="E35:E39"/>
    <mergeCell ref="D40:D49"/>
    <mergeCell ref="E40:E49"/>
    <mergeCell ref="D50:D58"/>
    <mergeCell ref="E50:E58"/>
    <mergeCell ref="N10:N11"/>
    <mergeCell ref="D12:D20"/>
    <mergeCell ref="E12:E20"/>
    <mergeCell ref="D21:D25"/>
    <mergeCell ref="E21:E25"/>
    <mergeCell ref="D26:D34"/>
    <mergeCell ref="E26:E34"/>
    <mergeCell ref="G10:G11"/>
    <mergeCell ref="H10:H11"/>
    <mergeCell ref="I10:I11"/>
    <mergeCell ref="J10:J11"/>
    <mergeCell ref="K10:K11"/>
    <mergeCell ref="L10:L11"/>
    <mergeCell ref="A1:N1"/>
    <mergeCell ref="A2:N2"/>
    <mergeCell ref="A3:F3"/>
    <mergeCell ref="A7:G7"/>
    <mergeCell ref="A10:A11"/>
    <mergeCell ref="B10:B11"/>
    <mergeCell ref="C10:C11"/>
    <mergeCell ref="D10:D11"/>
    <mergeCell ref="E10:E11"/>
    <mergeCell ref="F10:F11"/>
  </mergeCells>
  <conditionalFormatting sqref="L12:M12 L13:L166 M13:M168">
    <cfRule type="beginsWith" dxfId="3" priority="1" operator="beginsWith" text="A TIEMPO">
      <formula>LEFT(L12,LEN("A TIEMPO"))="A TIEMPO"</formula>
    </cfRule>
    <cfRule type="beginsWith" dxfId="2" priority="2" operator="beginsWith" text="CON ATRASO">
      <formula>LEFT(L12,LEN("CON ATRASO"))="CON ATRASO"</formula>
    </cfRule>
    <cfRule type="beginsWith" dxfId="1" priority="3" operator="beginsWith" text="TERMINADO A TIEMPO">
      <formula>LEFT(L12,LEN("TERMINADO A TIEMPO"))="TERMINADO A TIEMPO"</formula>
    </cfRule>
    <cfRule type="beginsWith" dxfId="0" priority="4" operator="beginsWith" text="TERMINADO CON ATRASO">
      <formula>LEFT(L12,LEN("TERMINADO CON ATRASO"))="TERMINADO CON ATRASO"</formula>
    </cfRule>
  </conditionalFormatting>
  <printOptions horizontalCentered="1" verticalCentered="1"/>
  <pageMargins left="3.937007874015748E-2" right="3.937007874015748E-2" top="0.15748031496062992" bottom="0.35433070866141736" header="0.11811023622047245" footer="0.11811023622047245"/>
  <pageSetup scale="60" orientation="landscape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 de acción</vt:lpstr>
      <vt:lpstr>'Plan de acción'!Área_de_impresión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 Murillo</dc:creator>
  <cp:lastModifiedBy>Alejandra  Murillo</cp:lastModifiedBy>
  <dcterms:created xsi:type="dcterms:W3CDTF">2024-04-05T22:09:02Z</dcterms:created>
  <dcterms:modified xsi:type="dcterms:W3CDTF">2024-04-05T22:10:42Z</dcterms:modified>
</cp:coreProperties>
</file>