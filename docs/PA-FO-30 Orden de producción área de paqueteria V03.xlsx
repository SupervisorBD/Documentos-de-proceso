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heckCompatibility="1" autoCompressPictures="0"/>
  <mc:AlternateContent xmlns:mc="http://schemas.openxmlformats.org/markup-compatibility/2006">
    <mc:Choice Requires="x15">
      <x15ac:absPath xmlns:x15ac="http://schemas.microsoft.com/office/spreadsheetml/2010/11/ac" url="\\192.168.10.5\cumplimiento\SGIA- Documentos PLanta Arroz\Actualizado Producción Arroz\Formato actual\"/>
    </mc:Choice>
  </mc:AlternateContent>
  <xr:revisionPtr revIDLastSave="0" documentId="13_ncr:1_{A07C5087-756A-4656-8B75-774F5EE2E9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03" sheetId="173" r:id="rId1"/>
    <sheet name="INFO2" sheetId="59" r:id="rId2"/>
    <sheet name="INFO2 (2)" sheetId="174" r:id="rId3"/>
  </sheets>
  <externalReferences>
    <externalReference r:id="rId4"/>
  </externalReferences>
  <definedNames>
    <definedName name="_xlnm.Print_Area" localSheetId="0">'V03'!$A$1:$Q$43</definedName>
  </definedNames>
  <calcPr calcId="191029"/>
  <customWorkbookViews>
    <customWorkbookView name="Microsoft Office User - Personal View" guid="{2ACB5BA0-7BC2-644B-830F-E4BD72611AEC}" mergeInterval="0" personalView="1" windowWidth="1319" windowHeight="51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30" i="173" l="1"/>
  <c r="P29" i="173"/>
  <c r="M29" i="173"/>
  <c r="D29" i="173"/>
  <c r="L29" i="173" s="1"/>
  <c r="B29" i="173"/>
  <c r="P28" i="173"/>
  <c r="M28" i="173"/>
  <c r="D28" i="173"/>
  <c r="L28" i="173" s="1"/>
  <c r="B28" i="173"/>
  <c r="P27" i="173"/>
  <c r="M27" i="173"/>
  <c r="D27" i="173"/>
  <c r="L27" i="173" s="1"/>
  <c r="B27" i="173"/>
  <c r="P26" i="173"/>
  <c r="M26" i="173"/>
  <c r="D26" i="173"/>
  <c r="L26" i="173" s="1"/>
  <c r="B26" i="173"/>
  <c r="P25" i="173"/>
  <c r="M25" i="173"/>
  <c r="D25" i="173"/>
  <c r="L25" i="173" s="1"/>
  <c r="B25" i="173"/>
  <c r="P24" i="173"/>
  <c r="M24" i="173"/>
  <c r="D24" i="173"/>
  <c r="L24" i="173" s="1"/>
  <c r="B24" i="173"/>
  <c r="P23" i="173"/>
  <c r="M23" i="173"/>
  <c r="D23" i="173"/>
  <c r="L23" i="173" s="1"/>
  <c r="B23" i="173"/>
  <c r="P22" i="173"/>
  <c r="M22" i="173"/>
  <c r="D22" i="173"/>
  <c r="L22" i="173" s="1"/>
  <c r="B22" i="173"/>
  <c r="P21" i="173"/>
  <c r="M21" i="173"/>
  <c r="D21" i="173"/>
  <c r="L21" i="173" s="1"/>
  <c r="B21" i="173"/>
  <c r="P20" i="173"/>
  <c r="M20" i="173"/>
  <c r="D20" i="173"/>
  <c r="L20" i="173" s="1"/>
  <c r="B20" i="173"/>
  <c r="P19" i="173"/>
  <c r="M19" i="173"/>
  <c r="D19" i="173"/>
  <c r="L19" i="173" s="1"/>
  <c r="B19" i="173"/>
  <c r="P18" i="173"/>
  <c r="M18" i="173"/>
  <c r="D18" i="173"/>
  <c r="L18" i="173" s="1"/>
  <c r="B18" i="173"/>
  <c r="P17" i="173"/>
  <c r="M17" i="173"/>
  <c r="D17" i="173"/>
  <c r="L17" i="173" s="1"/>
  <c r="B17" i="173"/>
  <c r="P16" i="173"/>
  <c r="M16" i="173"/>
  <c r="D16" i="173"/>
  <c r="L16" i="173" s="1"/>
  <c r="B16" i="173"/>
  <c r="P15" i="173"/>
  <c r="M15" i="173"/>
  <c r="D15" i="173"/>
  <c r="L15" i="173" s="1"/>
  <c r="B15" i="173"/>
  <c r="P14" i="173"/>
  <c r="M14" i="173"/>
  <c r="D14" i="173"/>
  <c r="L14" i="173" s="1"/>
  <c r="B14" i="173"/>
  <c r="A14" i="173"/>
  <c r="A15" i="173" s="1"/>
  <c r="A16" i="173" s="1"/>
  <c r="A17" i="173" s="1"/>
  <c r="A18" i="173" s="1"/>
  <c r="A19" i="173" s="1"/>
  <c r="A20" i="173" s="1"/>
  <c r="P13" i="173"/>
  <c r="M13" i="173"/>
  <c r="D13" i="173"/>
  <c r="L13" i="173" s="1"/>
  <c r="B13" i="173"/>
  <c r="C12" i="59"/>
  <c r="C13" i="59"/>
  <c r="M30" i="173" l="1"/>
  <c r="P30" i="173"/>
  <c r="L30" i="173"/>
</calcChain>
</file>

<file path=xl/sharedStrings.xml><?xml version="1.0" encoding="utf-8"?>
<sst xmlns="http://schemas.openxmlformats.org/spreadsheetml/2006/main" count="216" uniqueCount="130">
  <si>
    <t>FECHA:</t>
  </si>
  <si>
    <t>ITEM</t>
  </si>
  <si>
    <t>CLIENTE</t>
  </si>
  <si>
    <t>CANTIDAD</t>
  </si>
  <si>
    <t>PARAMETROS</t>
  </si>
  <si>
    <t>SILO</t>
  </si>
  <si>
    <t>DESCRIPCION DEL PRODUCTO</t>
  </si>
  <si>
    <t>OTRAS OBSERVACIONES:</t>
  </si>
  <si>
    <t>NO. ORDEN</t>
  </si>
  <si>
    <t>CODIGO</t>
  </si>
  <si>
    <t>UNIDAD DE MEDIDA</t>
  </si>
  <si>
    <t>PESO</t>
  </si>
  <si>
    <t>TARIMAS</t>
  </si>
  <si>
    <t>HORAS</t>
  </si>
  <si>
    <t>QQ</t>
  </si>
  <si>
    <t>DETALLE DE PRODUCCION</t>
  </si>
  <si>
    <t>INFORMATIVO</t>
  </si>
  <si>
    <t>TOTAL</t>
  </si>
  <si>
    <t>OTRO</t>
  </si>
  <si>
    <t>QUINTAL</t>
  </si>
  <si>
    <t>SAQUITO</t>
  </si>
  <si>
    <t>PESO (LBS)</t>
  </si>
  <si>
    <t>Molino</t>
  </si>
  <si>
    <t>QQ/TARIMA</t>
  </si>
  <si>
    <t>TURNO</t>
  </si>
  <si>
    <t>TURNO A</t>
  </si>
  <si>
    <t>TURNO B</t>
  </si>
  <si>
    <t>TURNO C</t>
  </si>
  <si>
    <t>PT-102-002</t>
  </si>
  <si>
    <t>ARROZ MANHATTAN ORO 4 LBS (5)</t>
  </si>
  <si>
    <t>PT-102-003</t>
  </si>
  <si>
    <t>ARROZ MANHATTAN BLANCO 4 LBS (10)</t>
  </si>
  <si>
    <t>PT-102-004</t>
  </si>
  <si>
    <t>ARROZ MANHATTAN BLANCO 4 LBS (5)</t>
  </si>
  <si>
    <t>PT-103-001</t>
  </si>
  <si>
    <t>ARROZ MR. DIECK ESCALDADO 1.75 KGS (10)</t>
  </si>
  <si>
    <t>PT-103-002</t>
  </si>
  <si>
    <t>ARROZ MR. DIECK ESCALDADO 1.75 KGS (5)</t>
  </si>
  <si>
    <t>PT-103-003</t>
  </si>
  <si>
    <t>ARROZ MR. DIECK BLANCO 1.75 KGS (10)</t>
  </si>
  <si>
    <t>PT-103-004</t>
  </si>
  <si>
    <t>ARROZ MR. DIECK BLANCO 1.75 KGS (5)</t>
  </si>
  <si>
    <t>PT-104-001</t>
  </si>
  <si>
    <t>ARROZ MR. DIECK ESCALDADO 1.5 KGS (10)</t>
  </si>
  <si>
    <t>PT-104-002</t>
  </si>
  <si>
    <t>ARROZ MR. DIECK ESCALDADO 1.5 KGS (5)</t>
  </si>
  <si>
    <t>PT-104-003</t>
  </si>
  <si>
    <t>ARROZ MR. DIECK BLANCO 1.5 KGS (10)</t>
  </si>
  <si>
    <t>PT-104-004</t>
  </si>
  <si>
    <t>ARROZ MR. DIECK BLANCO 1.5 KGS (5)</t>
  </si>
  <si>
    <t>PT-106-001</t>
  </si>
  <si>
    <t>ARROZ MR. DIECK BLANCO 1 LBS (25)</t>
  </si>
  <si>
    <t>PT-106-002</t>
  </si>
  <si>
    <t>ARROZ MANHATTAN ORO 1 LBS (25)</t>
  </si>
  <si>
    <t>PT-106-003</t>
  </si>
  <si>
    <t>ARROZ MANHATTAN BLANCO 1 LBS (25)</t>
  </si>
  <si>
    <t>PT-107-001</t>
  </si>
  <si>
    <t>ARROZ MR. DIECK ESCALDADO 350 GRS (25)</t>
  </si>
  <si>
    <t>PT-107-002</t>
  </si>
  <si>
    <t>ARROZ MR. DIECK BLANCO 350 GRS (25)</t>
  </si>
  <si>
    <t>PT-107-003</t>
  </si>
  <si>
    <t>ARROZ BAMBINO 350 GRS (25)</t>
  </si>
  <si>
    <t>PT-108-001</t>
  </si>
  <si>
    <t>ARROZ MR. DIECK BLANCO 300 GRS (25)</t>
  </si>
  <si>
    <t>PT-109-001</t>
  </si>
  <si>
    <t>ARROZ MR. DIECK ESCALDADO 175 GRS (50)</t>
  </si>
  <si>
    <t>PT-109-002</t>
  </si>
  <si>
    <t>ARROZ MR. DIECK BLANCO 175 GRS (50)</t>
  </si>
  <si>
    <t>ARROBAS</t>
  </si>
  <si>
    <t>ARROZ MANHATTAN BLANCO 1.5 KGS (5)</t>
  </si>
  <si>
    <t>ARROZ MANHATTAN ORO 1.5 KGS  (5)</t>
  </si>
  <si>
    <t>PT-104-005</t>
  </si>
  <si>
    <t>PT-104-006</t>
  </si>
  <si>
    <t>PT-108-002</t>
  </si>
  <si>
    <t>PT-108-003</t>
  </si>
  <si>
    <t>ARROZ MANHATTAN BLANCO 300 GRS (25)</t>
  </si>
  <si>
    <t>ARROZ MANHATTAN ORO 300 GRS (25)</t>
  </si>
  <si>
    <t>AMBAS</t>
  </si>
  <si>
    <t>PT-102-001</t>
  </si>
  <si>
    <t>ARROZ MANHATTAN ORO 4 LBS (10)</t>
  </si>
  <si>
    <t>PT-106-004</t>
  </si>
  <si>
    <t>ARROZ MANHATTAN BLANCO 1 LBS (20)</t>
  </si>
  <si>
    <t>PT-103-007</t>
  </si>
  <si>
    <t>ARROZ MR. DIECK BLANCO 1.75 KGS (3)</t>
  </si>
  <si>
    <t>PT-103-008</t>
  </si>
  <si>
    <t>ARROZ MR. DIECK ESCALDADO 1.75 KGS (3)</t>
  </si>
  <si>
    <t>PT-106-005</t>
  </si>
  <si>
    <t>ARROZ MANHATTAN ORO 1 LBS (20)</t>
  </si>
  <si>
    <t>PT-106-006</t>
  </si>
  <si>
    <t>ARROZ MR. DIECK BLANCO 1 LBS (20)</t>
  </si>
  <si>
    <t>PT-106-007</t>
  </si>
  <si>
    <t>ARROZ MR. DIECK INTEGRAL 1 LBS (25)</t>
  </si>
  <si>
    <t>N/A</t>
  </si>
  <si>
    <t>Tarimas</t>
  </si>
  <si>
    <t>QQ/HORA</t>
  </si>
  <si>
    <t>UND X HORA</t>
  </si>
  <si>
    <t>Envasadora (PPM):</t>
  </si>
  <si>
    <t>Unidades x Fardo</t>
  </si>
  <si>
    <t>Hora:</t>
  </si>
  <si>
    <t>OBSERVACIONES</t>
  </si>
  <si>
    <t>PT-104-007</t>
  </si>
  <si>
    <t>ARROZ BLANCO SULI 1.5 KGS (5)</t>
  </si>
  <si>
    <t>PT-104-008</t>
  </si>
  <si>
    <t>PT-104-009</t>
  </si>
  <si>
    <t>ARROZ MANHATTAN ORO 1.5 KGS (2-PACK)</t>
  </si>
  <si>
    <t>ARROZ MANHATTAN BLANCO 1.5 KGS (2-PACK)</t>
  </si>
  <si>
    <t>LINEA</t>
  </si>
  <si>
    <t>EMPRESA DIECK Y DIECK</t>
  </si>
  <si>
    <t>BOBINAS LBS</t>
  </si>
  <si>
    <t>PT</t>
  </si>
  <si>
    <t>ARROZ MANHATTAN BLANCO 1.5 KGS (10)</t>
  </si>
  <si>
    <t>Esperar confirmacion</t>
  </si>
  <si>
    <t>ARROZ MANHATTAN BLANCO ECONOMICO 1 LBS (20)</t>
  </si>
  <si>
    <t>ARROZ MANHATTAN ORO 1.5 KGS (10)</t>
  </si>
  <si>
    <t>FARDOS X HORA</t>
  </si>
  <si>
    <t>Rendimiento</t>
  </si>
  <si>
    <t>PT-104-010</t>
  </si>
  <si>
    <t>PT-104-011</t>
  </si>
  <si>
    <t>PT-106-010</t>
  </si>
  <si>
    <t>PT-107-004</t>
  </si>
  <si>
    <t>ARROZ BAMBI BLANCO 350 GRS (25)</t>
  </si>
  <si>
    <t>ORDEN DE PRODUCCION AREA DE PAQUETERIA</t>
  </si>
  <si>
    <r>
      <t xml:space="preserve">Código: </t>
    </r>
    <r>
      <rPr>
        <sz val="11"/>
        <color theme="1"/>
        <rFont val="Arial Narrow"/>
        <family val="2"/>
      </rPr>
      <t>PA-FO-30</t>
    </r>
  </si>
  <si>
    <r>
      <t xml:space="preserve">Fecha: </t>
    </r>
    <r>
      <rPr>
        <sz val="11"/>
        <color theme="1"/>
        <rFont val="Arial Narrow"/>
        <family val="2"/>
      </rPr>
      <t>02-ene-24</t>
    </r>
  </si>
  <si>
    <t>HORAS DE TRABAJO</t>
  </si>
  <si>
    <r>
      <t xml:space="preserve">Versión: </t>
    </r>
    <r>
      <rPr>
        <sz val="11"/>
        <color theme="1"/>
        <rFont val="Arial Narrow"/>
        <family val="2"/>
      </rPr>
      <t>03</t>
    </r>
  </si>
  <si>
    <r>
      <t xml:space="preserve">ENTERO </t>
    </r>
    <r>
      <rPr>
        <b/>
        <i/>
        <sz val="11"/>
        <color theme="1"/>
        <rFont val="Arial Narrow"/>
        <family val="2"/>
      </rPr>
      <t>MIN</t>
    </r>
  </si>
  <si>
    <r>
      <t xml:space="preserve">MIGON </t>
    </r>
    <r>
      <rPr>
        <b/>
        <i/>
        <sz val="11"/>
        <color theme="1"/>
        <rFont val="Arial Narrow"/>
        <family val="2"/>
      </rPr>
      <t>MAX</t>
    </r>
  </si>
  <si>
    <r>
      <t xml:space="preserve">PULIDO </t>
    </r>
    <r>
      <rPr>
        <b/>
        <i/>
        <sz val="11"/>
        <color theme="1"/>
        <rFont val="Arial Narrow"/>
        <family val="2"/>
      </rPr>
      <t>MIIN</t>
    </r>
  </si>
  <si>
    <t>FIRMA DE SUPERVISOR DE 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</si>
</sst>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sz val="10"/>
      <color theme="1"/>
      <name val="Arial Narrow"/>
      <family val="2"/>
    </font>
    <font>
      <b/>
      <i/>
      <sz val="11"/>
      <color theme="1"/>
      <name val="Arial Narrow"/>
      <family val="2"/>
    </font>
    <font>
      <u/>
      <sz val="11"/>
      <color theme="1"/>
      <name val="Arial Narrow"/>
      <family val="2"/>
    </font>
    <font>
      <i/>
      <sz val="11"/>
      <color theme="0" tint="-0.3499862666707357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21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4">
    <xf numFmtId="0" fontId="0" fillId="0" borderId="0" xfId="0"/>
    <xf numFmtId="0" fontId="4" fillId="0" borderId="0" xfId="0" applyFont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18" xfId="0" applyFont="1" applyBorder="1"/>
    <xf numFmtId="0" fontId="5" fillId="0" borderId="28" xfId="0" applyFont="1" applyBorder="1"/>
    <xf numFmtId="0" fontId="5" fillId="0" borderId="29" xfId="0" applyFont="1" applyBorder="1"/>
    <xf numFmtId="0" fontId="6" fillId="0" borderId="33" xfId="0" applyFont="1" applyBorder="1"/>
    <xf numFmtId="0" fontId="6" fillId="0" borderId="31" xfId="0" applyFont="1" applyBorder="1"/>
    <xf numFmtId="0" fontId="4" fillId="0" borderId="3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6" xfId="0" applyFont="1" applyBorder="1"/>
    <xf numFmtId="0" fontId="6" fillId="0" borderId="26" xfId="0" applyFont="1" applyBorder="1" applyAlignment="1">
      <alignment horizontal="center"/>
    </xf>
    <xf numFmtId="0" fontId="6" fillId="0" borderId="19" xfId="0" applyFont="1" applyBorder="1"/>
    <xf numFmtId="0" fontId="6" fillId="0" borderId="29" xfId="0" applyFont="1" applyBorder="1"/>
    <xf numFmtId="0" fontId="6" fillId="0" borderId="29" xfId="0" applyFont="1" applyBorder="1" applyAlignment="1">
      <alignment horizontal="center"/>
    </xf>
    <xf numFmtId="0" fontId="6" fillId="0" borderId="30" xfId="0" applyFont="1" applyBorder="1"/>
    <xf numFmtId="0" fontId="0" fillId="0" borderId="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16" xfId="0" applyFont="1" applyBorder="1" applyAlignment="1">
      <alignment horizontal="center"/>
    </xf>
    <xf numFmtId="0" fontId="0" fillId="0" borderId="49" xfId="0" applyBorder="1"/>
    <xf numFmtId="0" fontId="0" fillId="0" borderId="53" xfId="0" applyBorder="1"/>
    <xf numFmtId="0" fontId="0" fillId="0" borderId="34" xfId="0" applyBorder="1"/>
    <xf numFmtId="0" fontId="0" fillId="3" borderId="49" xfId="0" applyFill="1" applyBorder="1"/>
    <xf numFmtId="0" fontId="0" fillId="3" borderId="53" xfId="0" applyFill="1" applyBorder="1"/>
    <xf numFmtId="0" fontId="0" fillId="0" borderId="35" xfId="0" applyBorder="1"/>
    <xf numFmtId="0" fontId="0" fillId="0" borderId="36" xfId="0" applyBorder="1"/>
    <xf numFmtId="0" fontId="1" fillId="0" borderId="0" xfId="0" applyFont="1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2" fillId="0" borderId="0" xfId="0" applyFont="1"/>
    <xf numFmtId="0" fontId="1" fillId="0" borderId="0" xfId="0" applyFont="1" applyAlignment="1" applyProtection="1">
      <alignment horizontal="center"/>
      <protection locked="0"/>
    </xf>
    <xf numFmtId="14" fontId="14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3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3" fontId="1" fillId="0" borderId="33" xfId="0" applyNumberFormat="1" applyFont="1" applyBorder="1" applyAlignment="1">
      <alignment horizontal="center"/>
    </xf>
    <xf numFmtId="1" fontId="1" fillId="0" borderId="15" xfId="1205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/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3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3" fontId="1" fillId="0" borderId="31" xfId="0" applyNumberFormat="1" applyFont="1" applyBorder="1" applyAlignment="1">
      <alignment horizontal="center"/>
    </xf>
    <xf numFmtId="1" fontId="1" fillId="0" borderId="12" xfId="1205" applyNumberFormat="1" applyFont="1" applyFill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0" borderId="14" xfId="0" applyFont="1" applyBorder="1"/>
    <xf numFmtId="0" fontId="1" fillId="0" borderId="12" xfId="0" applyFont="1" applyBorder="1" applyAlignment="1">
      <alignment horizontal="left" wrapText="1"/>
    </xf>
    <xf numFmtId="0" fontId="1" fillId="0" borderId="3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3" fontId="1" fillId="0" borderId="53" xfId="0" applyNumberFormat="1" applyFont="1" applyBorder="1" applyAlignment="1">
      <alignment horizontal="center"/>
    </xf>
    <xf numFmtId="1" fontId="1" fillId="0" borderId="55" xfId="1205" applyNumberFormat="1" applyFont="1" applyFill="1" applyBorder="1" applyAlignment="1">
      <alignment horizontal="center"/>
    </xf>
    <xf numFmtId="2" fontId="1" fillId="0" borderId="50" xfId="0" applyNumberFormat="1" applyFont="1" applyBorder="1" applyAlignment="1">
      <alignment horizontal="center"/>
    </xf>
    <xf numFmtId="0" fontId="1" fillId="0" borderId="49" xfId="0" applyFont="1" applyBorder="1"/>
    <xf numFmtId="0" fontId="9" fillId="0" borderId="2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2" fontId="9" fillId="0" borderId="24" xfId="0" applyNumberFormat="1" applyFont="1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0" fontId="1" fillId="0" borderId="17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16" xfId="0" applyFont="1" applyBorder="1"/>
    <xf numFmtId="0" fontId="1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" fillId="0" borderId="14" xfId="0" applyFont="1" applyBorder="1" applyAlignment="1" applyProtection="1">
      <alignment horizontal="center"/>
      <protection locked="0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6" xfId="0" applyFont="1" applyBorder="1" applyAlignment="1">
      <alignment wrapText="1"/>
    </xf>
    <xf numFmtId="14" fontId="1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38" xfId="0" applyFont="1" applyBorder="1" applyAlignment="1">
      <alignment horizontal="center" vertical="center" wrapText="1"/>
    </xf>
    <xf numFmtId="2" fontId="1" fillId="0" borderId="56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</cellXfs>
  <cellStyles count="1214">
    <cellStyle name="Hipervínculo" xfId="857" builtinId="8" hidden="1"/>
    <cellStyle name="Hipervínculo" xfId="1163" builtinId="8" hidden="1"/>
    <cellStyle name="Hipervínculo" xfId="491" builtinId="8" hidden="1"/>
    <cellStyle name="Hipervínculo" xfId="735" builtinId="8" hidden="1"/>
    <cellStyle name="Hipervínculo" xfId="1063" builtinId="8" hidden="1"/>
    <cellStyle name="Hipervínculo" xfId="1173" builtinId="8" hidden="1"/>
    <cellStyle name="Hipervínculo" xfId="1031" builtinId="8" hidden="1"/>
    <cellStyle name="Hipervínculo" xfId="1206" builtinId="8" hidden="1"/>
    <cellStyle name="Hipervínculo" xfId="1199" builtinId="8" hidden="1"/>
    <cellStyle name="Hipervínculo" xfId="1" builtinId="8" hidden="1"/>
    <cellStyle name="Hipervínculo" xfId="149" builtinId="8" hidden="1"/>
    <cellStyle name="Hipervínculo" xfId="295" builtinId="8" hidden="1"/>
    <cellStyle name="Hipervínculo" xfId="25" builtinId="8" hidden="1"/>
    <cellStyle name="Hipervínculo" xfId="3" builtinId="8" hidden="1"/>
    <cellStyle name="Hipervínculo" xfId="39" builtinId="8" hidden="1"/>
    <cellStyle name="Hipervínculo" xfId="1025" builtinId="8" hidden="1"/>
    <cellStyle name="Hipervínculo" xfId="827" builtinId="8" hidden="1"/>
    <cellStyle name="Hipervínculo" xfId="893" builtinId="8" hidden="1"/>
    <cellStyle name="Hipervínculo" xfId="23" builtinId="8" hidden="1"/>
    <cellStyle name="Hipervínculo" xfId="55" builtinId="8" hidden="1"/>
    <cellStyle name="Hipervínculo" xfId="337" builtinId="8" hidden="1"/>
    <cellStyle name="Hipervínculo" xfId="419" builtinId="8" hidden="1"/>
    <cellStyle name="Hipervínculo" xfId="851" builtinId="8" hidden="1"/>
    <cellStyle name="Hipervínculo" xfId="1103" builtinId="8" hidden="1"/>
    <cellStyle name="Hipervínculo" xfId="179" builtinId="8" hidden="1"/>
    <cellStyle name="Hipervínculo" xfId="199" builtinId="8" hidden="1"/>
    <cellStyle name="Hipervínculo" xfId="173" builtinId="8" hidden="1"/>
    <cellStyle name="Hipervínculo" xfId="401" builtinId="8" hidden="1"/>
    <cellStyle name="Hipervínculo" xfId="399" builtinId="8" hidden="1"/>
    <cellStyle name="Hipervínculo" xfId="313" builtinId="8" hidden="1"/>
    <cellStyle name="Hipervínculo" xfId="271" builtinId="8" hidden="1"/>
    <cellStyle name="Hipervínculo" xfId="567" builtinId="8" hidden="1"/>
    <cellStyle name="Hipervínculo" xfId="695" builtinId="8" hidden="1"/>
    <cellStyle name="Hipervínculo" xfId="91" builtinId="8" hidden="1"/>
    <cellStyle name="Hipervínculo" xfId="107" builtinId="8" hidden="1"/>
    <cellStyle name="Hipervínculo" xfId="957" builtinId="8" hidden="1"/>
    <cellStyle name="Hipervínculo" xfId="175" builtinId="8" hidden="1"/>
    <cellStyle name="Hipervínculo" xfId="355" builtinId="8" hidden="1"/>
    <cellStyle name="Hipervínculo" xfId="137" builtinId="8" hidden="1"/>
    <cellStyle name="Hipervínculo" xfId="15" builtinId="8" hidden="1"/>
    <cellStyle name="Hipervínculo" xfId="931" builtinId="8" hidden="1"/>
    <cellStyle name="Hipervínculo" xfId="909" builtinId="8" hidden="1"/>
    <cellStyle name="Hipervínculo" xfId="835" builtinId="8" hidden="1"/>
    <cellStyle name="Hipervínculo" xfId="29" builtinId="8" hidden="1"/>
    <cellStyle name="Hipervínculo" xfId="407" builtinId="8" hidden="1"/>
    <cellStyle name="Hipervínculo" xfId="171" builtinId="8" hidden="1"/>
    <cellStyle name="Hipervínculo" xfId="111" builtinId="8" hidden="1"/>
    <cellStyle name="Hipervínculo" xfId="383" builtinId="8" hidden="1"/>
    <cellStyle name="Hipervínculo" xfId="729" builtinId="8" hidden="1"/>
    <cellStyle name="Hipervínculo" xfId="99" builtinId="8" hidden="1"/>
    <cellStyle name="Hipervínculo" xfId="117" builtinId="8" hidden="1"/>
    <cellStyle name="Hipervínculo" xfId="123" builtinId="8" hidden="1"/>
    <cellStyle name="Hipervínculo" xfId="375" builtinId="8" hidden="1"/>
    <cellStyle name="Hipervínculo" xfId="127" builtinId="8" hidden="1"/>
    <cellStyle name="Hipervínculo" xfId="703" builtinId="8" hidden="1"/>
    <cellStyle name="Hipervínculo" xfId="237" builtinId="8" hidden="1"/>
    <cellStyle name="Hipervínculo" xfId="119" builtinId="8" hidden="1"/>
    <cellStyle name="Hipervínculo" xfId="607" builtinId="8" hidden="1"/>
    <cellStyle name="Hipervínculo" xfId="243" builtinId="8" hidden="1"/>
    <cellStyle name="Hipervínculo" xfId="357" builtinId="8" hidden="1"/>
    <cellStyle name="Hipervínculo" xfId="1089" builtinId="8" hidden="1"/>
    <cellStyle name="Hipervínculo" xfId="97" builtinId="8" hidden="1"/>
    <cellStyle name="Hipervínculo" xfId="263" builtinId="8" hidden="1"/>
    <cellStyle name="Hipervínculo" xfId="157" builtinId="8" hidden="1"/>
    <cellStyle name="Hipervínculo" xfId="65" builtinId="8" hidden="1"/>
    <cellStyle name="Hipervínculo" xfId="813" builtinId="8" hidden="1"/>
    <cellStyle name="Hipervínculo" xfId="981" builtinId="8" hidden="1"/>
    <cellStyle name="Hipervínculo" xfId="103" builtinId="8" hidden="1"/>
    <cellStyle name="Hipervínculo" xfId="181" builtinId="8" hidden="1"/>
    <cellStyle name="Hipervínculo" xfId="471" builtinId="8" hidden="1"/>
    <cellStyle name="Hipervínculo" xfId="983" builtinId="8" hidden="1"/>
    <cellStyle name="Hipervínculo" xfId="309" builtinId="8" hidden="1"/>
    <cellStyle name="Hipervínculo" xfId="761" builtinId="8" hidden="1"/>
    <cellStyle name="Hipervínculo" xfId="699" builtinId="8" hidden="1"/>
    <cellStyle name="Hipervínculo" xfId="191" builtinId="8" hidden="1"/>
    <cellStyle name="Hipervínculo" xfId="37" builtinId="8" hidden="1"/>
    <cellStyle name="Hipervínculo" xfId="347" builtinId="8" hidden="1"/>
    <cellStyle name="Hipervínculo" xfId="403" builtinId="8" hidden="1"/>
    <cellStyle name="Hipervínculo" xfId="945" builtinId="8" hidden="1"/>
    <cellStyle name="Hipervínculo" xfId="969" builtinId="8" hidden="1"/>
    <cellStyle name="Hipervínculo" xfId="941" builtinId="8" hidden="1"/>
    <cellStyle name="Hipervínculo" xfId="881" builtinId="8" hidden="1"/>
    <cellStyle name="Hipervínculo" xfId="765" builtinId="8" hidden="1"/>
    <cellStyle name="Hipervínculo" xfId="681" builtinId="8" hidden="1"/>
    <cellStyle name="Hipervínculo" xfId="1195" builtinId="8" hidden="1"/>
    <cellStyle name="Hipervínculo" xfId="579" builtinId="8" hidden="1"/>
    <cellStyle name="Hipervínculo" xfId="473" builtinId="8" hidden="1"/>
    <cellStyle name="Hipervínculo" xfId="1003" builtinId="8" hidden="1"/>
    <cellStyle name="Hipervínculo" xfId="75" builtinId="8" hidden="1"/>
    <cellStyle name="Hipervínculo" xfId="301" builtinId="8" hidden="1"/>
    <cellStyle name="Hipervínculo" xfId="59" builtinId="8" hidden="1"/>
    <cellStyle name="Hipervínculo" xfId="1029" builtinId="8" hidden="1"/>
    <cellStyle name="Hipervínculo" xfId="359" builtinId="8" hidden="1"/>
    <cellStyle name="Hipervínculo" xfId="1109" builtinId="8" hidden="1"/>
    <cellStyle name="Hipervínculo" xfId="903" builtinId="8" hidden="1"/>
    <cellStyle name="Hipervínculo" xfId="275" builtinId="8" hidden="1"/>
    <cellStyle name="Hipervínculo" xfId="787" builtinId="8" hidden="1"/>
    <cellStyle name="Hipervínculo" xfId="525" builtinId="8" hidden="1"/>
    <cellStyle name="Hipervínculo" xfId="465" builtinId="8" hidden="1"/>
    <cellStyle name="Hipervínculo" xfId="1011" builtinId="8" hidden="1"/>
    <cellStyle name="Hipervínculo" xfId="569" builtinId="8" hidden="1"/>
    <cellStyle name="Hipervínculo" xfId="441" builtinId="8" hidden="1"/>
    <cellStyle name="Hipervínculo" xfId="505" builtinId="8" hidden="1"/>
    <cellStyle name="Hipervínculo" xfId="805" builtinId="8" hidden="1"/>
    <cellStyle name="Hipervínculo" xfId="483" builtinId="8" hidden="1"/>
    <cellStyle name="Hipervínculo" xfId="709" builtinId="8" hidden="1"/>
    <cellStyle name="Hipervínculo" xfId="487" builtinId="8" hidden="1"/>
    <cellStyle name="Hipervínculo" xfId="79" builtinId="8" hidden="1"/>
    <cellStyle name="Hipervínculo" xfId="297" builtinId="8" hidden="1"/>
    <cellStyle name="Hipervínculo" xfId="545" builtinId="8" hidden="1"/>
    <cellStyle name="Hipervínculo" xfId="221" builtinId="8" hidden="1"/>
    <cellStyle name="Hipervínculo" xfId="697" builtinId="8" hidden="1"/>
    <cellStyle name="Hipervínculo" xfId="287" builtinId="8" hidden="1"/>
    <cellStyle name="Hipervínculo" xfId="855" builtinId="8" hidden="1"/>
    <cellStyle name="Hipervínculo" xfId="1107" builtinId="8" hidden="1"/>
    <cellStyle name="Hipervínculo" xfId="947" builtinId="8" hidden="1"/>
    <cellStyle name="Hipervínculo" xfId="1023" builtinId="8" hidden="1"/>
    <cellStyle name="Hipervínculo" xfId="967" builtinId="8" hidden="1"/>
    <cellStyle name="Hipervínculo" xfId="689" builtinId="8" hidden="1"/>
    <cellStyle name="Hipervínculo" xfId="499" builtinId="8" hidden="1"/>
    <cellStyle name="Hipervínculo" xfId="1009" builtinId="8" hidden="1"/>
    <cellStyle name="Hipervínculo" xfId="1087" builtinId="8" hidden="1"/>
    <cellStyle name="Hipervínculo" xfId="261" builtinId="8" hidden="1"/>
    <cellStyle name="Hipervínculo" xfId="1149" builtinId="8" hidden="1"/>
    <cellStyle name="Hipervínculo" xfId="1167" builtinId="8" hidden="1"/>
    <cellStyle name="Hipervínculo" xfId="833" builtinId="8" hidden="1"/>
    <cellStyle name="Hipervínculo" xfId="985" builtinId="8" hidden="1"/>
    <cellStyle name="Hipervínculo" xfId="1123" builtinId="8" hidden="1"/>
    <cellStyle name="Hipervínculo" xfId="1193" builtinId="8" hidden="1"/>
    <cellStyle name="Hipervínculo" xfId="1157" builtinId="8" hidden="1"/>
    <cellStyle name="Hipervínculo" xfId="1081" builtinId="8" hidden="1"/>
    <cellStyle name="Hipervínculo" xfId="1037" builtinId="8" hidden="1"/>
    <cellStyle name="Hipervínculo" xfId="951" builtinId="8" hidden="1"/>
    <cellStyle name="Hipervínculo" xfId="639" builtinId="8" hidden="1"/>
    <cellStyle name="Hipervínculo" xfId="763" builtinId="8" hidden="1"/>
    <cellStyle name="Hipervínculo" xfId="177" builtinId="8" hidden="1"/>
    <cellStyle name="Hipervínculo" xfId="859" builtinId="8" hidden="1"/>
    <cellStyle name="Hipervínculo" xfId="1159" builtinId="8" hidden="1"/>
    <cellStyle name="Hipervínculo" xfId="1179" builtinId="8" hidden="1"/>
    <cellStyle name="Hipervínculo" xfId="1208" builtinId="8" hidden="1"/>
    <cellStyle name="Hipervínculo" xfId="1143" builtinId="8" hidden="1"/>
    <cellStyle name="Hipervínculo" xfId="871" builtinId="8" hidden="1"/>
    <cellStyle name="Hipervínculo" xfId="809" builtinId="8" hidden="1"/>
    <cellStyle name="Hipervínculo" xfId="255" builtinId="8" hidden="1"/>
    <cellStyle name="Hipervínculo" xfId="341" builtinId="8" hidden="1"/>
    <cellStyle name="Hipervínculo" xfId="291" builtinId="8" hidden="1"/>
    <cellStyle name="Hipervínculo" xfId="799" builtinId="8" hidden="1"/>
    <cellStyle name="Hipervínculo" xfId="335" builtinId="8" hidden="1"/>
    <cellStyle name="Hipervínculo" xfId="61" builtinId="8" hidden="1"/>
    <cellStyle name="Hipervínculo" xfId="155" builtinId="8" hidden="1"/>
    <cellStyle name="Hipervínculo" xfId="165" builtinId="8" hidden="1"/>
    <cellStyle name="Hipervínculo" xfId="1141" builtinId="8" hidden="1"/>
    <cellStyle name="Hipervínculo" xfId="5" builtinId="8" hidden="1"/>
    <cellStyle name="Hipervínculo" xfId="143" builtinId="8" hidden="1"/>
    <cellStyle name="Hipervínculo" xfId="741" builtinId="8" hidden="1"/>
    <cellStyle name="Hipervínculo" xfId="889" builtinId="8" hidden="1"/>
    <cellStyle name="Hipervínculo" xfId="989" builtinId="8" hidden="1"/>
    <cellStyle name="Hipervínculo" xfId="109" builtinId="8" hidden="1"/>
    <cellStyle name="Hipervínculo" xfId="89" builtinId="8" hidden="1"/>
    <cellStyle name="Hipervínculo" xfId="45" builtinId="8" hidden="1"/>
    <cellStyle name="Hipervínculo" xfId="227" builtinId="8" hidden="1"/>
    <cellStyle name="Hipervínculo" xfId="843" builtinId="8" hidden="1"/>
    <cellStyle name="Hipervínculo" xfId="517" builtinId="8" hidden="1"/>
    <cellStyle name="Hipervínculo" xfId="129" builtinId="8" hidden="1"/>
    <cellStyle name="Hipervínculo" xfId="101" builtinId="8" hidden="1"/>
    <cellStyle name="Hipervínculo" xfId="133" builtinId="8" hidden="1"/>
    <cellStyle name="Hipervínculo" xfId="873" builtinId="8" hidden="1"/>
    <cellStyle name="Hipervínculo" xfId="679" builtinId="8" hidden="1"/>
    <cellStyle name="Hipervínculo" xfId="371" builtinId="8" hidden="1"/>
    <cellStyle name="Hipervínculo" xfId="197" builtinId="8" hidden="1"/>
    <cellStyle name="Hipervínculo" xfId="539" builtinId="8" hidden="1"/>
    <cellStyle name="Hipervínculo" xfId="617" builtinId="8" hidden="1"/>
    <cellStyle name="Hipervínculo" xfId="757" builtinId="8" hidden="1"/>
    <cellStyle name="Hipervínculo" xfId="581" builtinId="8" hidden="1"/>
    <cellStyle name="Hipervínculo" xfId="493" builtinId="8" hidden="1"/>
    <cellStyle name="Hipervínculo" xfId="993" builtinId="8" hidden="1"/>
    <cellStyle name="Hipervínculo" xfId="469" builtinId="8" hidden="1"/>
    <cellStyle name="Hipervínculo" xfId="453" builtinId="8" hidden="1"/>
    <cellStyle name="Hipervínculo" xfId="685" builtinId="8" hidden="1"/>
    <cellStyle name="Hipervínculo" xfId="1013" builtinId="8" hidden="1"/>
    <cellStyle name="Hipervínculo" xfId="1153" builtinId="8" hidden="1"/>
    <cellStyle name="Hipervínculo" xfId="485" builtinId="8" hidden="1"/>
    <cellStyle name="Hipervínculo" xfId="915" builtinId="8" hidden="1"/>
    <cellStyle name="Hipervínculo" xfId="219" builtinId="8" hidden="1"/>
    <cellStyle name="Hipervínculo" xfId="277" builtinId="8" hidden="1"/>
    <cellStyle name="Hipervínculo" xfId="1169" builtinId="8" hidden="1"/>
    <cellStyle name="Hipervínculo" xfId="1021" builtinId="8" hidden="1"/>
    <cellStyle name="Hipervínculo" xfId="1137" builtinId="8" hidden="1"/>
    <cellStyle name="Hipervínculo" xfId="999" builtinId="8" hidden="1"/>
    <cellStyle name="Hipervínculo" xfId="1183" builtinId="8" hidden="1"/>
    <cellStyle name="Hipervínculo" xfId="793" builtinId="8" hidden="1"/>
    <cellStyle name="Hipervínculo" xfId="755" builtinId="8" hidden="1"/>
    <cellStyle name="Hipervínculo" xfId="1131" builtinId="8" hidden="1"/>
    <cellStyle name="Hipervínculo" xfId="687" builtinId="8" hidden="1"/>
    <cellStyle name="Hipervínculo" xfId="329" builtinId="8" hidden="1"/>
    <cellStyle name="Hipervínculo" xfId="95" builtinId="8" hidden="1"/>
    <cellStyle name="Hipervínculo" xfId="159" builtinId="8" hidden="1"/>
    <cellStyle name="Hipervínculo" xfId="125" builtinId="8" hidden="1"/>
    <cellStyle name="Hipervínculo" xfId="863" builtinId="8" hidden="1"/>
    <cellStyle name="Hipervínculo" xfId="759" builtinId="8" hidden="1"/>
    <cellStyle name="Hipervínculo" xfId="711" builtinId="8" hidden="1"/>
    <cellStyle name="Hipervínculo" xfId="663" builtinId="8" hidden="1"/>
    <cellStyle name="Hipervínculo" xfId="479" builtinId="8" hidden="1"/>
    <cellStyle name="Hipervínculo" xfId="185" builtinId="8" hidden="1"/>
    <cellStyle name="Hipervínculo" xfId="205" builtinId="8" hidden="1"/>
    <cellStyle name="Hipervínculo" xfId="223" builtinId="8" hidden="1"/>
    <cellStyle name="Hipervínculo" xfId="257" builtinId="8" hidden="1"/>
    <cellStyle name="Hipervínculo" xfId="281" builtinId="8" hidden="1"/>
    <cellStyle name="Hipervínculo" xfId="315" builtinId="8" hidden="1"/>
    <cellStyle name="Hipervínculo" xfId="331" builtinId="8" hidden="1"/>
    <cellStyle name="Hipervínculo" xfId="353" builtinId="8" hidden="1"/>
    <cellStyle name="Hipervínculo" xfId="379" builtinId="8" hidden="1"/>
    <cellStyle name="Hipervínculo" xfId="425" builtinId="8" hidden="1"/>
    <cellStyle name="Hipervínculo" xfId="427" builtinId="8" hidden="1"/>
    <cellStyle name="Hipervínculo" xfId="267" builtinId="8" hidden="1"/>
    <cellStyle name="Hipervínculo" xfId="631" builtinId="8" hidden="1"/>
    <cellStyle name="Hipervínculo" xfId="77" builtinId="8" hidden="1"/>
    <cellStyle name="Hipervínculo" xfId="1083" builtinId="8" hidden="1"/>
    <cellStyle name="Hipervínculo" xfId="623" builtinId="8" hidden="1"/>
    <cellStyle name="Hipervínculo" xfId="925" builtinId="8" hidden="1"/>
    <cellStyle name="Hipervínculo" xfId="121" builtinId="8" hidden="1"/>
    <cellStyle name="Hipervínculo" xfId="21" builtinId="8" hidden="1"/>
    <cellStyle name="Hipervínculo" xfId="85" builtinId="8" hidden="1"/>
    <cellStyle name="Hipervínculo" xfId="553" builtinId="8" hidden="1"/>
    <cellStyle name="Hipervínculo" xfId="7" builtinId="8" hidden="1"/>
    <cellStyle name="Hipervínculo" xfId="17" builtinId="8" hidden="1"/>
    <cellStyle name="Hipervínculo" xfId="429" builtinId="8" hidden="1"/>
    <cellStyle name="Hipervínculo" xfId="613" builtinId="8" hidden="1"/>
    <cellStyle name="Hipervínculo" xfId="627" builtinId="8" hidden="1"/>
    <cellStyle name="Hipervínculo" xfId="821" builtinId="8" hidden="1"/>
    <cellStyle name="Hipervínculo" xfId="461" builtinId="8" hidden="1"/>
    <cellStyle name="Hipervínculo" xfId="475" builtinId="8" hidden="1"/>
    <cellStyle name="Hipervínculo" xfId="433" builtinId="8" hidden="1"/>
    <cellStyle name="Hipervínculo" xfId="481" builtinId="8" hidden="1"/>
    <cellStyle name="Hipervínculo" xfId="215" builtinId="8" hidden="1"/>
    <cellStyle name="Hipervínculo" xfId="523" builtinId="8" hidden="1"/>
    <cellStyle name="Hipervínculo" xfId="233" builtinId="8" hidden="1"/>
    <cellStyle name="Hipervínculo" xfId="307" builtinId="8" hidden="1"/>
    <cellStyle name="Hipervínculo" xfId="459" builtinId="8" hidden="1"/>
    <cellStyle name="Hipervínculo" xfId="443" builtinId="8" hidden="1"/>
    <cellStyle name="Hipervínculo" xfId="501" builtinId="8" hidden="1"/>
    <cellStyle name="Hipervínculo" xfId="877" builtinId="8" hidden="1"/>
    <cellStyle name="Hipervínculo" xfId="987" builtinId="8" hidden="1"/>
    <cellStyle name="Hipervínculo" xfId="629" builtinId="8" hidden="1"/>
    <cellStyle name="Hipervínculo" xfId="259" builtinId="8" hidden="1"/>
    <cellStyle name="Hipervínculo" xfId="163" builtinId="8" hidden="1"/>
    <cellStyle name="Hipervínculo" xfId="667" builtinId="8" hidden="1"/>
    <cellStyle name="Hipervínculo" xfId="801" builtinId="8" hidden="1"/>
    <cellStyle name="Hipervínculo" xfId="693" builtinId="8" hidden="1"/>
    <cellStyle name="Hipervínculo" xfId="659" builtinId="8" hidden="1"/>
    <cellStyle name="Hipervínculo" xfId="963" builtinId="8" hidden="1"/>
    <cellStyle name="Hipervínculo" xfId="979" builtinId="8" hidden="1"/>
    <cellStyle name="Hipervínculo" xfId="961" builtinId="8" hidden="1"/>
    <cellStyle name="Hipervínculo" xfId="845" builtinId="8" hidden="1"/>
    <cellStyle name="Hipervínculo" xfId="789" builtinId="8" hidden="1"/>
    <cellStyle name="Hipervínculo" xfId="747" builtinId="8" hidden="1"/>
    <cellStyle name="Hipervínculo" xfId="1185" builtinId="8" hidden="1"/>
    <cellStyle name="Hipervínculo" xfId="783" builtinId="8" hidden="1"/>
    <cellStyle name="Hipervínculo" xfId="549" builtinId="8" hidden="1"/>
    <cellStyle name="Hipervínculo" xfId="537" builtinId="8" hidden="1"/>
    <cellStyle name="Hipervínculo" xfId="571" builtinId="8" hidden="1"/>
    <cellStyle name="Hipervínculo" xfId="381" builtinId="8" hidden="1"/>
    <cellStyle name="Hipervínculo" xfId="661" builtinId="8" hidden="1"/>
    <cellStyle name="Hipervínculo" xfId="643" builtinId="8" hidden="1"/>
    <cellStyle name="Hipervínculo" xfId="901" builtinId="8" hidden="1"/>
    <cellStyle name="Hipervínculo" xfId="611" builtinId="8" hidden="1"/>
    <cellStyle name="Hipervínculo" xfId="449" builtinId="8" hidden="1"/>
    <cellStyle name="Hipervínculo" xfId="513" builtinId="8" hidden="1"/>
    <cellStyle name="Hipervínculo" xfId="351" builtinId="8" hidden="1"/>
    <cellStyle name="Hipervínculo" xfId="325" builtinId="8" hidden="1"/>
    <cellStyle name="Hipervínculo" xfId="241" builtinId="8" hidden="1"/>
    <cellStyle name="Hipervínculo" xfId="455" builtinId="8" hidden="1"/>
    <cellStyle name="Hipervínculo" xfId="467" builtinId="8" hidden="1"/>
    <cellStyle name="Hipervínculo" xfId="971" builtinId="8" hidden="1"/>
    <cellStyle name="Hipervínculo" xfId="657" builtinId="8" hidden="1"/>
    <cellStyle name="Hipervínculo" xfId="621" builtinId="8" hidden="1"/>
    <cellStyle name="Hipervínculo" xfId="577" builtinId="8" hidden="1"/>
    <cellStyle name="Hipervínculo" xfId="939" builtinId="8" hidden="1"/>
    <cellStyle name="Hipervínculo" xfId="647" builtinId="8" hidden="1"/>
    <cellStyle name="Hipervínculo" xfId="497" builtinId="8" hidden="1"/>
    <cellStyle name="Hipervínculo" xfId="561" builtinId="8" hidden="1"/>
    <cellStyle name="Hipervínculo" xfId="585" builtinId="8" hidden="1"/>
    <cellStyle name="Hipervínculo" xfId="593" builtinId="8" hidden="1"/>
    <cellStyle name="Hipervínculo" xfId="885" builtinId="8" hidden="1"/>
    <cellStyle name="Hipervínculo" xfId="929" builtinId="8" hidden="1"/>
    <cellStyle name="Hipervínculo" xfId="597" builtinId="8" hidden="1"/>
    <cellStyle name="Hipervínculo" xfId="751" builtinId="8" hidden="1"/>
    <cellStyle name="Hipervínculo" xfId="153" builtinId="8" hidden="1"/>
    <cellStyle name="Hipervínculo" xfId="745" builtinId="8" hidden="1"/>
    <cellStyle name="Hipervínculo" xfId="587" builtinId="8" hidden="1"/>
    <cellStyle name="Hipervínculo" xfId="1135" builtinId="8" hidden="1"/>
    <cellStyle name="Hipervínculo" xfId="209" builtinId="8" hidden="1"/>
    <cellStyle name="Hipervínculo" xfId="753" builtinId="8" hidden="1"/>
    <cellStyle name="Hipervínculo" xfId="905" builtinId="8" hidden="1"/>
    <cellStyle name="Hipervínculo" xfId="147" builtinId="8" hidden="1"/>
    <cellStyle name="Hipervínculo" xfId="743" builtinId="8" hidden="1"/>
    <cellStyle name="Hipervínculo" xfId="557" builtinId="8" hidden="1"/>
    <cellStyle name="Hipervínculo" xfId="779" builtinId="8" hidden="1"/>
    <cellStyle name="Hipervínculo" xfId="637" builtinId="8" hidden="1"/>
    <cellStyle name="Hipervínculo" xfId="953" builtinId="8" hidden="1"/>
    <cellStyle name="Hipervínculo" xfId="515" builtinId="8" hidden="1"/>
    <cellStyle name="Hipervínculo" xfId="217" builtinId="8" hidden="1"/>
    <cellStyle name="Hipervínculo" xfId="409" builtinId="8" hidden="1"/>
    <cellStyle name="Hipervínculo" xfId="737" builtinId="8" hidden="1"/>
    <cellStyle name="Hipervínculo" xfId="565" builtinId="8" hidden="1"/>
    <cellStyle name="Hipervínculo" xfId="669" builtinId="8" hidden="1"/>
    <cellStyle name="Hipervínculo" xfId="1057" builtinId="8" hidden="1"/>
    <cellStyle name="Hipervínculo" xfId="921" builtinId="8" hidden="1"/>
    <cellStyle name="Hipervínculo" xfId="411" builtinId="8" hidden="1"/>
    <cellStyle name="Hipervínculo" xfId="841" builtinId="8" hidden="1"/>
    <cellStyle name="Hipervínculo" xfId="519" builtinId="8" hidden="1"/>
    <cellStyle name="Hipervínculo" xfId="603" builtinId="8" hidden="1"/>
    <cellStyle name="Hipervínculo" xfId="767" builtinId="8" hidden="1"/>
    <cellStyle name="Hipervínculo" xfId="683" builtinId="8" hidden="1"/>
    <cellStyle name="Hipervínculo" xfId="477" builtinId="8" hidden="1"/>
    <cellStyle name="Hipervínculo" xfId="651" builtinId="8" hidden="1"/>
    <cellStyle name="Hipervínculo" xfId="891" builtinId="8" hidden="1"/>
    <cellStyle name="Hipervínculo" xfId="965" builtinId="8" hidden="1"/>
    <cellStyle name="Hipervínculo" xfId="367" builtinId="8" hidden="1"/>
    <cellStyle name="Hipervínculo" xfId="781" builtinId="8" hidden="1"/>
    <cellStyle name="Hipervínculo" xfId="395" builtinId="8" hidden="1"/>
    <cellStyle name="Hipervínculo" xfId="363" builtinId="8" hidden="1"/>
    <cellStyle name="Hipervínculo" xfId="293" builtinId="8" hidden="1"/>
    <cellStyle name="Hipervínculo" xfId="213" builtinId="8" hidden="1"/>
    <cellStyle name="Hipervínculo" xfId="503" builtinId="8" hidden="1"/>
    <cellStyle name="Hipervínculo" xfId="839" builtinId="8" hidden="1"/>
    <cellStyle name="Hipervínculo" xfId="13" builtinId="8" hidden="1"/>
    <cellStyle name="Hipervínculo" xfId="943" builtinId="8" hidden="1"/>
    <cellStyle name="Hipervínculo" xfId="1201" builtinId="8" hidden="1"/>
    <cellStyle name="Hipervínculo" xfId="1059" builtinId="8" hidden="1"/>
    <cellStyle name="Hipervínculo" xfId="391" builtinId="8" hidden="1"/>
    <cellStyle name="Hipervínculo" xfId="463" builtinId="8" hidden="1"/>
    <cellStyle name="Hipervínculo" xfId="529" builtinId="8" hidden="1"/>
    <cellStyle name="Hipervínculo" xfId="829" builtinId="8" hidden="1"/>
    <cellStyle name="Hipervínculo" xfId="507" builtinId="8" hidden="1"/>
    <cellStyle name="Hipervínculo" xfId="671" builtinId="8" hidden="1"/>
    <cellStyle name="Hipervínculo" xfId="183" builtinId="8" hidden="1"/>
    <cellStyle name="Hipervínculo" xfId="907" builtinId="8" hidden="1"/>
    <cellStyle name="Hipervínculo" xfId="169" builtinId="8" hidden="1"/>
    <cellStyle name="Hipervínculo" xfId="69" builtinId="8" hidden="1"/>
    <cellStyle name="Hipervínculo" xfId="319" builtinId="8" hidden="1"/>
    <cellStyle name="Hipervínculo" xfId="795" builtinId="8" hidden="1"/>
    <cellStyle name="Hipervínculo" xfId="187" builtinId="8" hidden="1"/>
    <cellStyle name="Hipervínculo" xfId="1127" builtinId="8" hidden="1"/>
    <cellStyle name="Hipervínculo" xfId="1129" builtinId="8" hidden="1"/>
    <cellStyle name="Hipervínculo" xfId="1049" builtinId="8" hidden="1"/>
    <cellStyle name="Hipervínculo" xfId="327" builtinId="8" hidden="1"/>
    <cellStyle name="Hipervínculo" xfId="229" builtinId="8" hidden="1"/>
    <cellStyle name="Hipervínculo" xfId="1187" builtinId="8" hidden="1"/>
    <cellStyle name="Hipervínculo" xfId="1017" builtinId="8" hidden="1"/>
    <cellStyle name="Hipervínculo" xfId="1101" builtinId="8" hidden="1"/>
    <cellStyle name="Hipervínculo" xfId="1139" builtinId="8" hidden="1"/>
    <cellStyle name="Hipervínculo" xfId="207" builtinId="8" hidden="1"/>
    <cellStyle name="Hipervínculo" xfId="1073" builtinId="8" hidden="1"/>
    <cellStyle name="Hipervínculo" xfId="727" builtinId="8" hidden="1"/>
    <cellStyle name="Hipervínculo" xfId="135" builtinId="8" hidden="1"/>
    <cellStyle name="Hipervínculo" xfId="1077" builtinId="8" hidden="1"/>
    <cellStyle name="Hipervínculo" xfId="533" builtinId="8" hidden="1"/>
    <cellStyle name="Hipervínculo" xfId="825" builtinId="8" hidden="1"/>
    <cellStyle name="Hipervínculo" xfId="609" builtinId="8" hidden="1"/>
    <cellStyle name="Hipervínculo" xfId="1155" builtinId="8" hidden="1"/>
    <cellStyle name="Hipervínculo" xfId="723" builtinId="8" hidden="1"/>
    <cellStyle name="Hipervínculo" xfId="775" builtinId="8" hidden="1"/>
    <cellStyle name="Hipervínculo" xfId="655" builtinId="8" hidden="1"/>
    <cellStyle name="Hipervínculo" xfId="811" builtinId="8" hidden="1"/>
    <cellStyle name="Hipervínculo" xfId="265" builtinId="8" hidden="1"/>
    <cellStyle name="Hipervínculo" xfId="167" builtinId="8" hidden="1"/>
    <cellStyle name="Hipervínculo" xfId="131" builtinId="8" hidden="1"/>
    <cellStyle name="Hipervínculo" xfId="369" builtinId="8" hidden="1"/>
    <cellStyle name="Hipervínculo" xfId="231" builtinId="8" hidden="1"/>
    <cellStyle name="Hipervínculo" xfId="393" builtinId="8" hidden="1"/>
    <cellStyle name="Hipervínculo" xfId="705" builtinId="8" hidden="1"/>
    <cellStyle name="Hipervínculo" xfId="807" builtinId="8" hidden="1"/>
    <cellStyle name="Hipervínculo" xfId="1093" builtinId="8" hidden="1"/>
    <cellStyle name="Hipervínculo" xfId="343" builtinId="8" hidden="1"/>
    <cellStyle name="Hipervínculo" xfId="51" builtinId="8" hidden="1"/>
    <cellStyle name="Hipervínculo" xfId="145" builtinId="8" hidden="1"/>
    <cellStyle name="Hipervínculo" xfId="777" builtinId="8" hidden="1"/>
    <cellStyle name="Hipervínculo" xfId="63" builtinId="8" hidden="1"/>
    <cellStyle name="Hipervínculo" xfId="161" builtinId="8" hidden="1"/>
    <cellStyle name="Hipervínculo" xfId="81" builtinId="8" hidden="1"/>
    <cellStyle name="Hipervínculo" xfId="239" builtinId="8" hidden="1"/>
    <cellStyle name="Hipervínculo" xfId="413" builtinId="8" hidden="1"/>
    <cellStyle name="Hipervínculo" xfId="279" builtinId="8" hidden="1"/>
    <cellStyle name="Hipervínculo" xfId="151" builtinId="8" hidden="1"/>
    <cellStyle name="Hipervínculo" xfId="11" builtinId="8" hidden="1"/>
    <cellStyle name="Hipervínculo" xfId="71" builtinId="8" hidden="1"/>
    <cellStyle name="Hipervínculo" xfId="35" builtinId="8" hidden="1"/>
    <cellStyle name="Hipervínculo" xfId="139" builtinId="8" hidden="1"/>
    <cellStyle name="Hipervínculo" xfId="93" builtinId="8" hidden="1"/>
    <cellStyle name="Hipervínculo" xfId="373" builtinId="8" hidden="1"/>
    <cellStyle name="Hipervínculo" xfId="733" builtinId="8" hidden="1"/>
    <cellStyle name="Hipervínculo" xfId="1007" builtinId="8" hidden="1"/>
    <cellStyle name="Hipervínculo" xfId="511" builtinId="8" hidden="1"/>
    <cellStyle name="Hipervínculo" xfId="665" builtinId="8" hidden="1"/>
    <cellStyle name="Hipervínculo" xfId="865" builtinId="8" hidden="1"/>
    <cellStyle name="Hipervínculo" xfId="269" builtinId="8" hidden="1"/>
    <cellStyle name="Hipervínculo" xfId="73" builtinId="8" hidden="1"/>
    <cellStyle name="Hipervínculo" xfId="27" builtinId="8" hidden="1"/>
    <cellStyle name="Hipervínculo" xfId="105" builtinId="8" hidden="1"/>
    <cellStyle name="Hipervínculo" xfId="9" builtinId="8" hidden="1"/>
    <cellStyle name="Hipervínculo" xfId="57" builtinId="8" hidden="1"/>
    <cellStyle name="Hipervínculo" xfId="283" builtinId="8" hidden="1"/>
    <cellStyle name="Hipervínculo" xfId="41" builtinId="8" hidden="1"/>
    <cellStyle name="Hipervínculo" xfId="211" builtinId="8" hidden="1"/>
    <cellStyle name="Hipervínculo" xfId="769" builtinId="8" hidden="1"/>
    <cellStyle name="Hipervínculo" xfId="883" builtinId="8" hidden="1"/>
    <cellStyle name="Hipervínculo" xfId="87" builtinId="8" hidden="1"/>
    <cellStyle name="Hipervínculo" xfId="817" builtinId="8" hidden="1"/>
    <cellStyle name="Hipervínculo" xfId="201" builtinId="8" hidden="1"/>
    <cellStyle name="Hipervínculo" xfId="875" builtinId="8" hidden="1"/>
    <cellStyle name="Hipervínculo" xfId="677" builtinId="8" hidden="1"/>
    <cellStyle name="Hipervínculo" xfId="509" builtinId="8" hidden="1"/>
    <cellStyle name="Hipervínculo" xfId="635" builtinId="8" hidden="1"/>
    <cellStyle name="Hipervínculo" xfId="649" builtinId="8" hidden="1"/>
    <cellStyle name="Hipervínculo" xfId="195" builtinId="8" hidden="1"/>
    <cellStyle name="Hipervínculo" xfId="53" builtinId="8" hidden="1"/>
    <cellStyle name="Hipervínculo" xfId="435" builtinId="8" hidden="1"/>
    <cellStyle name="Hipervínculo" xfId="619" builtinId="8" hidden="1"/>
    <cellStyle name="Hipervínculo" xfId="853" builtinId="8" hidden="1"/>
    <cellStyle name="Hipervínculo" xfId="599" builtinId="8" hidden="1"/>
    <cellStyle name="Hipervínculo" xfId="303" builtinId="8" hidden="1"/>
    <cellStyle name="Hipervínculo" xfId="417" builtinId="8" hidden="1"/>
    <cellStyle name="Hipervínculo" xfId="521" builtinId="8" hidden="1"/>
    <cellStyle name="Hipervínculo" xfId="573" builtinId="8" hidden="1"/>
    <cellStyle name="Hipervínculo" xfId="547" builtinId="8" hidden="1"/>
    <cellStyle name="Hipervínculo" xfId="489" builtinId="8" hidden="1"/>
    <cellStyle name="Hipervínculo" xfId="653" builtinId="8" hidden="1"/>
    <cellStyle name="Hipervínculo" xfId="731" builtinId="8" hidden="1"/>
    <cellStyle name="Hipervínculo" xfId="251" builtinId="8" hidden="1"/>
    <cellStyle name="Hipervínculo" xfId="1117" builtinId="8" hidden="1"/>
    <cellStyle name="Hipervínculo" xfId="323" builtinId="8" hidden="1"/>
    <cellStyle name="Hipervínculo" xfId="601" builtinId="8" hidden="1"/>
    <cellStyle name="Hipervínculo" xfId="563" builtinId="8" hidden="1"/>
    <cellStyle name="Hipervínculo" xfId="605" builtinId="8" hidden="1"/>
    <cellStyle name="Hipervínculo" xfId="673" builtinId="8" hidden="1"/>
    <cellStyle name="Hipervínculo" xfId="285" builtinId="8" hidden="1"/>
    <cellStyle name="Hipervínculo" xfId="847" builtinId="8" hidden="1"/>
    <cellStyle name="Hipervínculo" xfId="923" builtinId="8" hidden="1"/>
    <cellStyle name="Hipervínculo" xfId="879" builtinId="8" hidden="1"/>
    <cellStyle name="Hipervínculo" xfId="691" builtinId="8" hidden="1"/>
    <cellStyle name="Hipervínculo" xfId="1147" builtinId="8" hidden="1"/>
    <cellStyle name="Hipervínculo" xfId="1095" builtinId="8" hidden="1"/>
    <cellStyle name="Hipervínculo" xfId="1105" builtinId="8" hidden="1"/>
    <cellStyle name="Hipervínculo" xfId="535" builtinId="8" hidden="1"/>
    <cellStyle name="Hipervínculo" xfId="1203" builtinId="8" hidden="1"/>
    <cellStyle name="Hipervínculo" xfId="1085" builtinId="8" hidden="1"/>
    <cellStyle name="Hipervínculo" xfId="235" builtinId="8" hidden="1"/>
    <cellStyle name="Hipervínculo" xfId="421" builtinId="8" hidden="1"/>
    <cellStyle name="Hipervínculo" xfId="1053" builtinId="8" hidden="1"/>
    <cellStyle name="Hipervínculo" xfId="1033" builtinId="8" hidden="1"/>
    <cellStyle name="Hipervínculo" xfId="1133" builtinId="8" hidden="1"/>
    <cellStyle name="Hipervínculo" xfId="823" builtinId="8" hidden="1"/>
    <cellStyle name="Hipervínculo" xfId="311" builtinId="8" hidden="1"/>
    <cellStyle name="Hipervínculo" xfId="67" builtinId="8" hidden="1"/>
    <cellStyle name="Hipervínculo" xfId="1045" builtinId="8" hidden="1"/>
    <cellStyle name="Hipervínculo" xfId="1075" builtinId="8" hidden="1"/>
    <cellStyle name="Hipervínculo" xfId="333" builtinId="8" hidden="1"/>
    <cellStyle name="Hipervínculo" xfId="721" builtinId="8" hidden="1"/>
    <cellStyle name="Hipervínculo" xfId="949" builtinId="8" hidden="1"/>
    <cellStyle name="Hipervínculo" xfId="797" builtinId="8" hidden="1"/>
    <cellStyle name="Hipervínculo" xfId="83" builtinId="8" hidden="1"/>
    <cellStyle name="Hipervínculo" xfId="247" builtinId="8" hidden="1"/>
    <cellStyle name="Hipervínculo" xfId="115" builtinId="8" hidden="1"/>
    <cellStyle name="Hipervínculo" xfId="49" builtinId="8" hidden="1"/>
    <cellStyle name="Hipervínculo" xfId="423" builtinId="8" hidden="1"/>
    <cellStyle name="Hipervínculo" xfId="31" builtinId="8" hidden="1"/>
    <cellStyle name="Hipervínculo" xfId="19" builtinId="8" hidden="1"/>
    <cellStyle name="Hipervínculo" xfId="193" builtinId="8" hidden="1"/>
    <cellStyle name="Hipervínculo" xfId="543" builtinId="8" hidden="1"/>
    <cellStyle name="Hipervínculo" xfId="43" builtinId="8" hidden="1"/>
    <cellStyle name="Hipervínculo" xfId="365" builtinId="8" hidden="1"/>
    <cellStyle name="Hipervínculo" xfId="815" builtinId="8" hidden="1"/>
    <cellStyle name="Hipervínculo" xfId="867" builtinId="8" hidden="1"/>
    <cellStyle name="Hipervínculo" xfId="555" builtinId="8" hidden="1"/>
    <cellStyle name="Hipervínculo" xfId="445" builtinId="8" hidden="1"/>
    <cellStyle name="Hipervínculo" xfId="641" builtinId="8" hidden="1"/>
    <cellStyle name="Hipervínculo" xfId="595" builtinId="8" hidden="1"/>
    <cellStyle name="Hipervínculo" xfId="273" builtinId="8" hidden="1"/>
    <cellStyle name="Hipervínculo" xfId="245" builtinId="8" hidden="1"/>
    <cellStyle name="Hipervínculo" xfId="527" builtinId="8" hidden="1"/>
    <cellStyle name="Hipervínculo" xfId="719" builtinId="8" hidden="1"/>
    <cellStyle name="Hipervínculo" xfId="911" builtinId="8" hidden="1"/>
    <cellStyle name="Hipervínculo" xfId="1099" builtinId="8" hidden="1"/>
    <cellStyle name="Hipervínculo" xfId="1067" builtinId="8" hidden="1"/>
    <cellStyle name="Hipervínculo" xfId="675" builtinId="8" hidden="1"/>
    <cellStyle name="Hipervínculo" xfId="701" builtinId="8" hidden="1"/>
    <cellStyle name="Hipervínculo" xfId="713" builtinId="8" hidden="1"/>
    <cellStyle name="Hipervínculo" xfId="725" builtinId="8" hidden="1"/>
    <cellStyle name="Hipervínculo" xfId="771" builtinId="8" hidden="1"/>
    <cellStyle name="Hipervínculo" xfId="803" builtinId="8" hidden="1"/>
    <cellStyle name="Hipervínculo" xfId="819" builtinId="8" hidden="1"/>
    <cellStyle name="Hipervínculo" xfId="849" builtinId="8" hidden="1"/>
    <cellStyle name="Hipervínculo" xfId="869" builtinId="8" hidden="1"/>
    <cellStyle name="Hipervínculo" xfId="899" builtinId="8" hidden="1"/>
    <cellStyle name="Hipervínculo" xfId="913" builtinId="8" hidden="1"/>
    <cellStyle name="Hipervínculo" xfId="933" builtinId="8" hidden="1"/>
    <cellStyle name="Hipervínculo" xfId="995" builtinId="8" hidden="1"/>
    <cellStyle name="Hipervínculo" xfId="997" builtinId="8" hidden="1"/>
    <cellStyle name="Hipervínculo" xfId="955" builtinId="8" hidden="1"/>
    <cellStyle name="Hipervínculo" xfId="785" builtinId="8" hidden="1"/>
    <cellStyle name="Hipervínculo" xfId="1039" builtinId="8" hidden="1"/>
    <cellStyle name="Hipervínculo" xfId="531" builtinId="8" hidden="1"/>
    <cellStyle name="Hipervínculo" xfId="439" builtinId="8" hidden="1"/>
    <cellStyle name="Hipervínculo" xfId="141" builtinId="8" hidden="1"/>
    <cellStyle name="Hipervínculo" xfId="1071" builtinId="8" hidden="1"/>
    <cellStyle name="Hipervínculo" xfId="345" builtinId="8" hidden="1"/>
    <cellStyle name="Hipervínculo" xfId="917" builtinId="8" hidden="1"/>
    <cellStyle name="Hipervínculo" xfId="589" builtinId="8" hidden="1"/>
    <cellStyle name="Hipervínculo" xfId="457" builtinId="8" hidden="1"/>
    <cellStyle name="Hipervínculo" xfId="541" builtinId="8" hidden="1"/>
    <cellStyle name="Hipervínculo" xfId="389" builtinId="8" hidden="1"/>
    <cellStyle name="Hipervínculo" xfId="1165" builtinId="8" hidden="1"/>
    <cellStyle name="Hipervínculo" xfId="437" builtinId="8" hidden="1"/>
    <cellStyle name="Hipervínculo" xfId="451" builtinId="8" hidden="1"/>
    <cellStyle name="Hipervínculo" xfId="305" builtinId="8" hidden="1"/>
    <cellStyle name="Hipervínculo" xfId="1001" builtinId="8" hidden="1"/>
    <cellStyle name="Hipervínculo" xfId="1111" builtinId="8" hidden="1"/>
    <cellStyle name="Hipervínculo" xfId="1055" builtinId="8" hidden="1"/>
    <cellStyle name="Hipervínculo" xfId="959" builtinId="8" hidden="1"/>
    <cellStyle name="Hipervínculo" xfId="225" builtinId="8" hidden="1"/>
    <cellStyle name="Hipervínculo" xfId="1043" builtinId="8" hidden="1"/>
    <cellStyle name="Hipervínculo" xfId="1061" builtinId="8" hidden="1"/>
    <cellStyle name="Hipervínculo" xfId="1065" builtinId="8" hidden="1"/>
    <cellStyle name="Hipervínculo" xfId="1005" builtinId="8" hidden="1"/>
    <cellStyle name="Hipervínculo" xfId="1069" builtinId="8" hidden="1"/>
    <cellStyle name="Hipervínculo" xfId="715" builtinId="8" hidden="1"/>
    <cellStyle name="Hipervínculo" xfId="831" builtinId="8" hidden="1"/>
    <cellStyle name="Hipervínculo" xfId="1125" builtinId="8" hidden="1"/>
    <cellStyle name="Hipervínculo" xfId="739" builtinId="8" hidden="1"/>
    <cellStyle name="Hipervínculo" xfId="837" builtinId="8" hidden="1"/>
    <cellStyle name="Hipervínculo" xfId="495" builtinId="8" hidden="1"/>
    <cellStyle name="Hipervínculo" xfId="1041" builtinId="8" hidden="1"/>
    <cellStyle name="Hipervínculo" xfId="1019" builtinId="8" hidden="1"/>
    <cellStyle name="Hipervínculo" xfId="1097" builtinId="8" hidden="1"/>
    <cellStyle name="Hipervínculo" xfId="1151" builtinId="8" hidden="1"/>
    <cellStyle name="Hipervínculo" xfId="289" builtinId="8" hidden="1"/>
    <cellStyle name="Hipervínculo" xfId="415" builtinId="8" hidden="1"/>
    <cellStyle name="Hipervínculo" xfId="1047" builtinId="8" hidden="1"/>
    <cellStyle name="Hipervínculo" xfId="1121" builtinId="8" hidden="1"/>
    <cellStyle name="Hipervínculo" xfId="773" builtinId="8" hidden="1"/>
    <cellStyle name="Hipervínculo" xfId="645" builtinId="8" hidden="1"/>
    <cellStyle name="Hipervínculo" xfId="895" builtinId="8" hidden="1"/>
    <cellStyle name="Hipervínculo" xfId="249" builtinId="8" hidden="1"/>
    <cellStyle name="Hipervínculo" xfId="203" builtinId="8" hidden="1"/>
    <cellStyle name="Hipervínculo" xfId="791" builtinId="8" hidden="1"/>
    <cellStyle name="Hipervínculo" xfId="927" builtinId="8" hidden="1"/>
    <cellStyle name="Hipervínculo" xfId="977" builtinId="8" hidden="1"/>
    <cellStyle name="Hipervínculo" xfId="387" builtinId="8" hidden="1"/>
    <cellStyle name="Hipervínculo" xfId="405" builtinId="8" hidden="1"/>
    <cellStyle name="Hipervínculo" xfId="385" builtinId="8" hidden="1"/>
    <cellStyle name="Hipervínculo" xfId="339" builtinId="8" hidden="1"/>
    <cellStyle name="Hipervínculo" xfId="253" builtinId="8" hidden="1"/>
    <cellStyle name="Hipervínculo" xfId="189" builtinId="8" hidden="1"/>
    <cellStyle name="Hipervínculo" xfId="575" builtinId="8" hidden="1"/>
    <cellStyle name="Hipervínculo" xfId="113" builtinId="8" hidden="1"/>
    <cellStyle name="Hipervínculo" xfId="33" builtinId="8" hidden="1"/>
    <cellStyle name="Hipervínculo" xfId="431" builtinId="8" hidden="1"/>
    <cellStyle name="Hipervínculo" xfId="1161" builtinId="8" hidden="1"/>
    <cellStyle name="Hipervínculo" xfId="887" builtinId="8" hidden="1"/>
    <cellStyle name="Hipervínculo" xfId="1145" builtinId="8" hidden="1"/>
    <cellStyle name="Hipervínculo" xfId="1189" builtinId="8" hidden="1"/>
    <cellStyle name="Hipervínculo" xfId="937" builtinId="8" hidden="1"/>
    <cellStyle name="Hipervínculo" xfId="1181" builtinId="8" hidden="1"/>
    <cellStyle name="Hipervínculo" xfId="919" builtinId="8" hidden="1"/>
    <cellStyle name="Hipervínculo" xfId="991" builtinId="8" hidden="1"/>
    <cellStyle name="Hipervínculo" xfId="317" builtinId="8" hidden="1"/>
    <cellStyle name="Hipervínculo" xfId="615" builtinId="8" hidden="1"/>
    <cellStyle name="Hipervínculo" xfId="1119" builtinId="8" hidden="1"/>
    <cellStyle name="Hipervínculo" xfId="1027" builtinId="8" hidden="1"/>
    <cellStyle name="Hipervínculo" xfId="1113" builtinId="8" hidden="1"/>
    <cellStyle name="Hipervínculo" xfId="973" builtinId="8" hidden="1"/>
    <cellStyle name="Hipervínculo" xfId="897" builtinId="8" hidden="1"/>
    <cellStyle name="Hipervínculo" xfId="861" builtinId="8" hidden="1"/>
    <cellStyle name="Hipervínculo" xfId="749" builtinId="8" hidden="1"/>
    <cellStyle name="Hipervínculo" xfId="717" builtinId="8" hidden="1"/>
    <cellStyle name="Hipervínculo" xfId="1035" builtinId="8" hidden="1"/>
    <cellStyle name="Hipervínculo" xfId="1051" builtinId="8" hidden="1"/>
    <cellStyle name="Hipervínculo" xfId="397" builtinId="8" hidden="1"/>
    <cellStyle name="Hipervínculo" xfId="1115" builtinId="8" hidden="1"/>
    <cellStyle name="Hipervínculo" xfId="935" builtinId="8" hidden="1"/>
    <cellStyle name="Hipervínculo" xfId="1079" builtinId="8" hidden="1"/>
    <cellStyle name="Hipervínculo" xfId="1197" builtinId="8" hidden="1"/>
    <cellStyle name="Hipervínculo" xfId="377" builtinId="8" hidden="1"/>
    <cellStyle name="Hipervínculo" xfId="361" builtinId="8" hidden="1"/>
    <cellStyle name="Hipervínculo" xfId="975" builtinId="8" hidden="1"/>
    <cellStyle name="Hipervínculo" xfId="1091" builtinId="8" hidden="1"/>
    <cellStyle name="Hipervínculo" xfId="1015" builtinId="8" hidden="1"/>
    <cellStyle name="Hipervínculo" xfId="1177" builtinId="8" hidden="1"/>
    <cellStyle name="Hipervínculo" xfId="1210" builtinId="8" hidden="1"/>
    <cellStyle name="Hipervínculo" xfId="1191" builtinId="8" hidden="1"/>
    <cellStyle name="Hipervínculo" xfId="447" builtinId="8" hidden="1"/>
    <cellStyle name="Hipervínculo" xfId="299" builtinId="8" hidden="1"/>
    <cellStyle name="Hipervínculo" xfId="349" builtinId="8" hidden="1"/>
    <cellStyle name="Hipervínculo" xfId="1175" builtinId="8" hidden="1"/>
    <cellStyle name="Hipervínculo" xfId="1171" builtinId="8" hidden="1"/>
    <cellStyle name="Hipervínculo" xfId="559" builtinId="8" hidden="1"/>
    <cellStyle name="Hipervínculo" xfId="633" builtinId="8" hidden="1"/>
    <cellStyle name="Hipervínculo" xfId="583" builtinId="8" hidden="1"/>
    <cellStyle name="Hipervínculo" xfId="591" builtinId="8" hidden="1"/>
    <cellStyle name="Hipervínculo" xfId="1212" builtinId="8" hidden="1"/>
    <cellStyle name="Hipervínculo" xfId="47" builtinId="8" hidden="1"/>
    <cellStyle name="Hipervínculo" xfId="707" builtinId="8" hidden="1"/>
    <cellStyle name="Hipervínculo" xfId="625" builtinId="8" hidden="1"/>
    <cellStyle name="Hipervínculo" xfId="551" builtinId="8" hidden="1"/>
    <cellStyle name="Hipervínculo" xfId="321" builtinId="8" hidden="1"/>
    <cellStyle name="Hipervínculo visitado" xfId="324" builtinId="9" hidden="1"/>
    <cellStyle name="Hipervínculo visitado" xfId="78" builtinId="9" hidden="1"/>
    <cellStyle name="Hipervínculo visitado" xfId="1114" builtinId="9" hidden="1"/>
    <cellStyle name="Hipervínculo visitado" xfId="1138" builtinId="9" hidden="1"/>
    <cellStyle name="Hipervínculo visitado" xfId="758" builtinId="9" hidden="1"/>
    <cellStyle name="Hipervínculo visitado" xfId="1186" builtinId="9" hidden="1"/>
    <cellStyle name="Hipervínculo visitado" xfId="132" builtinId="9" hidden="1"/>
    <cellStyle name="Hipervínculo visitado" xfId="978" builtinId="9" hidden="1"/>
    <cellStyle name="Hipervínculo visitado" xfId="484" builtinId="9" hidden="1"/>
    <cellStyle name="Hipervínculo visitado" xfId="662" builtinId="9" hidden="1"/>
    <cellStyle name="Hipervínculo visitado" xfId="148" builtinId="9" hidden="1"/>
    <cellStyle name="Hipervínculo visitado" xfId="270" builtinId="9" hidden="1"/>
    <cellStyle name="Hipervínculo visitado" xfId="730" builtinId="9" hidden="1"/>
    <cellStyle name="Hipervínculo visitado" xfId="1096" builtinId="9" hidden="1"/>
    <cellStyle name="Hipervínculo visitado" xfId="566" builtinId="9" hidden="1"/>
    <cellStyle name="Hipervínculo visitado" xfId="140" builtinId="9" hidden="1"/>
    <cellStyle name="Hipervínculo visitado" xfId="366" builtinId="9" hidden="1"/>
    <cellStyle name="Hipervínculo visitado" xfId="4" builtinId="9" hidden="1"/>
    <cellStyle name="Hipervínculo visitado" xfId="1000" builtinId="9" hidden="1"/>
    <cellStyle name="Hipervínculo visitado" xfId="470" builtinId="9" hidden="1"/>
    <cellStyle name="Hipervínculo visitado" xfId="68" builtinId="9" hidden="1"/>
    <cellStyle name="Hipervínculo visitado" xfId="462" builtinId="9" hidden="1"/>
    <cellStyle name="Hipervínculo visitado" xfId="442" builtinId="9" hidden="1"/>
    <cellStyle name="Hipervínculo visitado" xfId="904" builtinId="9" hidden="1"/>
    <cellStyle name="Hipervínculo visitado" xfId="374" builtinId="9" hidden="1"/>
    <cellStyle name="Hipervínculo visitado" xfId="124" builtinId="9" hidden="1"/>
    <cellStyle name="Hipervínculo visitado" xfId="1100" builtinId="9" hidden="1"/>
    <cellStyle name="Hipervínculo visitado" xfId="172" builtinId="9" hidden="1"/>
    <cellStyle name="Hipervínculo visitado" xfId="808" builtinId="9" hidden="1"/>
    <cellStyle name="Hipervínculo visitado" xfId="278" builtinId="9" hidden="1"/>
    <cellStyle name="Hipervínculo visitado" xfId="152" builtinId="9" hidden="1"/>
    <cellStyle name="Hipervínculo visitado" xfId="654" builtinId="9" hidden="1"/>
    <cellStyle name="Hipervínculo visitado" xfId="570" builtinId="9" hidden="1"/>
    <cellStyle name="Hipervínculo visitado" xfId="712" builtinId="9" hidden="1"/>
    <cellStyle name="Hipervínculo visitado" xfId="182" builtinId="9" hidden="1"/>
    <cellStyle name="Hipervínculo visitado" xfId="220" builtinId="9" hidden="1"/>
    <cellStyle name="Hipervínculo visitado" xfId="750" builtinId="9" hidden="1"/>
    <cellStyle name="Hipervínculo visitado" xfId="134" builtinId="9" hidden="1"/>
    <cellStyle name="Hipervínculo visitado" xfId="616" builtinId="9" hidden="1"/>
    <cellStyle name="Hipervínculo visitado" xfId="86" builtinId="9" hidden="1"/>
    <cellStyle name="Hipervínculo visitado" xfId="316" builtinId="9" hidden="1"/>
    <cellStyle name="Hipervínculo visitado" xfId="846" builtinId="9" hidden="1"/>
    <cellStyle name="Hipervínculo visitado" xfId="698" builtinId="9" hidden="1"/>
    <cellStyle name="Hipervínculo visitado" xfId="46" builtinId="9" hidden="1"/>
    <cellStyle name="Hipervínculo visitado" xfId="514" builtinId="9" hidden="1"/>
    <cellStyle name="Hipervínculo visitado" xfId="328" builtinId="9" hidden="1"/>
    <cellStyle name="Hipervínculo visitado" xfId="928" builtinId="9" hidden="1"/>
    <cellStyle name="Hipervínculo visitado" xfId="406" builtinId="9" hidden="1"/>
    <cellStyle name="Hipervínculo visitado" xfId="1002" builtinId="9" hidden="1"/>
    <cellStyle name="Hipervínculo visitado" xfId="1032" builtinId="9" hidden="1"/>
    <cellStyle name="Hipervínculo visitado" xfId="1020" builtinId="9" hidden="1"/>
    <cellStyle name="Hipervínculo visitado" xfId="1038" builtinId="9" hidden="1"/>
    <cellStyle name="Hipervínculo visitado" xfId="826" builtinId="9" hidden="1"/>
    <cellStyle name="Hipervínculo visitado" xfId="360" builtinId="9" hidden="1"/>
    <cellStyle name="Hipervínculo visitado" xfId="74" builtinId="9" hidden="1"/>
    <cellStyle name="Hipervínculo visitado" xfId="604" builtinId="9" hidden="1"/>
    <cellStyle name="Hipervínculo visitado" xfId="1134" builtinId="9" hidden="1"/>
    <cellStyle name="Hipervínculo visitado" xfId="902" builtinId="9" hidden="1"/>
    <cellStyle name="Hipervínculo visitado" xfId="424" builtinId="9" hidden="1"/>
    <cellStyle name="Hipervínculo visitado" xfId="170" builtinId="9" hidden="1"/>
    <cellStyle name="Hipervínculo visitado" xfId="700" builtinId="9" hidden="1"/>
    <cellStyle name="Hipervínculo visitado" xfId="1196" builtinId="9" hidden="1"/>
    <cellStyle name="Hipervínculo visitado" xfId="954" builtinId="9" hidden="1"/>
    <cellStyle name="Hipervínculo visitado" xfId="344" builtinId="9" hidden="1"/>
    <cellStyle name="Hipervínculo visitado" xfId="266" builtinId="9" hidden="1"/>
    <cellStyle name="Hipervínculo visitado" xfId="796" builtinId="9" hidden="1"/>
    <cellStyle name="Hipervínculo visitado" xfId="814" builtinId="9" hidden="1"/>
    <cellStyle name="Hipervínculo visitado" xfId="72" builtinId="9" hidden="1"/>
    <cellStyle name="Hipervínculo visitado" xfId="264" builtinId="9" hidden="1"/>
    <cellStyle name="Hipervínculo visitado" xfId="362" builtinId="9" hidden="1"/>
    <cellStyle name="Hipervínculo visitado" xfId="892" builtinId="9" hidden="1"/>
    <cellStyle name="Hipervínculo visitado" xfId="1004" builtinId="9" hidden="1"/>
    <cellStyle name="Hipervínculo visitado" xfId="1082" builtinId="9" hidden="1"/>
    <cellStyle name="Hipervínculo visitado" xfId="200" builtinId="9" hidden="1"/>
    <cellStyle name="Hipervínculo visitado" xfId="458" builtinId="9" hidden="1"/>
    <cellStyle name="Hipervínculo visitado" xfId="988" builtinId="9" hidden="1"/>
    <cellStyle name="Hipervínculo visitado" xfId="908" builtinId="9" hidden="1"/>
    <cellStyle name="Hipervínculo visitado" xfId="948" builtinId="9" hidden="1"/>
    <cellStyle name="Hipervínculo visitado" xfId="272" builtinId="9" hidden="1"/>
    <cellStyle name="Hipervínculo visitado" xfId="554" builtinId="9" hidden="1"/>
    <cellStyle name="Hipervínculo visitado" xfId="1084" builtinId="9" hidden="1"/>
    <cellStyle name="Hipervínculo visitado" xfId="812" builtinId="9" hidden="1"/>
    <cellStyle name="Hipervínculo visitado" xfId="282" builtinId="9" hidden="1"/>
    <cellStyle name="Hipervínculo visitado" xfId="312" builtinId="9" hidden="1"/>
    <cellStyle name="Hipervínculo visitado" xfId="650" builtinId="9" hidden="1"/>
    <cellStyle name="Hipervínculo visitado" xfId="162" builtinId="9" hidden="1"/>
    <cellStyle name="Hipervínculo visitado" xfId="674" builtinId="9" hidden="1"/>
    <cellStyle name="Hipervínculo visitado" xfId="408" builtinId="9" hidden="1"/>
    <cellStyle name="Hipervínculo visitado" xfId="412" builtinId="9" hidden="1"/>
    <cellStyle name="Hipervínculo visitado" xfId="746" builtinId="9" hidden="1"/>
    <cellStyle name="Hipervínculo visitado" xfId="1150" builtinId="9" hidden="1"/>
    <cellStyle name="Hipervínculo visitado" xfId="620" builtinId="9" hidden="1"/>
    <cellStyle name="Hipervínculo visitado" xfId="90" builtinId="9" hidden="1"/>
    <cellStyle name="Hipervínculo visitado" xfId="368" builtinId="9" hidden="1"/>
    <cellStyle name="Hipervínculo visitado" xfId="842" builtinId="9" hidden="1"/>
    <cellStyle name="Hipervínculo visitado" xfId="1054" builtinId="9" hidden="1"/>
    <cellStyle name="Hipervínculo visitado" xfId="524" builtinId="9" hidden="1"/>
    <cellStyle name="Hipervínculo visitado" xfId="1204" builtinId="9" hidden="1"/>
    <cellStyle name="Hipervínculo visitado" xfId="304" builtinId="9" hidden="1"/>
    <cellStyle name="Hipervínculo visitado" xfId="938" builtinId="9" hidden="1"/>
    <cellStyle name="Hipervínculo visitado" xfId="958" builtinId="9" hidden="1"/>
    <cellStyle name="Hipervínculo visitado" xfId="428" builtinId="9" hidden="1"/>
    <cellStyle name="Hipervínculo visitado" xfId="10" builtinId="9" hidden="1"/>
    <cellStyle name="Hipervínculo visitado" xfId="504" builtinId="9" hidden="1"/>
    <cellStyle name="Hipervínculo visitado" xfId="1034" builtinId="9" hidden="1"/>
    <cellStyle name="Hipervínculo visitado" xfId="862" builtinId="9" hidden="1"/>
    <cellStyle name="Hipervínculo visitado" xfId="302" builtinId="9" hidden="1"/>
    <cellStyle name="Hipervínculo visitado" xfId="332" builtinId="9" hidden="1"/>
    <cellStyle name="Hipervínculo visitado" xfId="600" builtinId="9" hidden="1"/>
    <cellStyle name="Hipervínculo visitado" xfId="1130" builtinId="9" hidden="1"/>
    <cellStyle name="Hipervínculo visitado" xfId="766" builtinId="9" hidden="1"/>
    <cellStyle name="Hipervínculo visitado" xfId="236" builtinId="9" hidden="1"/>
    <cellStyle name="Hipervínculo visitado" xfId="166" builtinId="9" hidden="1"/>
    <cellStyle name="Hipervínculo visitado" xfId="696" builtinId="9" hidden="1"/>
    <cellStyle name="Hipervínculo visitado" xfId="1200" builtinId="9" hidden="1"/>
    <cellStyle name="Hipervínculo visitado" xfId="670" builtinId="9" hidden="1"/>
    <cellStyle name="Hipervínculo visitado" xfId="144" builtinId="9" hidden="1"/>
    <cellStyle name="Hipervínculo visitado" xfId="966" builtinId="9" hidden="1"/>
    <cellStyle name="Hipervínculo visitado" xfId="792" builtinId="9" hidden="1"/>
    <cellStyle name="Hipervínculo visitado" xfId="156" builtinId="9" hidden="1"/>
    <cellStyle name="Hipervínculo visitado" xfId="256" builtinId="9" hidden="1"/>
    <cellStyle name="Hipervínculo visitado" xfId="1092" builtinId="9" hidden="1"/>
    <cellStyle name="Hipervínculo visitado" xfId="1104" builtinId="9" hidden="1"/>
    <cellStyle name="Hipervínculo visitado" xfId="720" builtinId="9" hidden="1"/>
    <cellStyle name="Hipervínculo visitado" xfId="550" builtinId="9" hidden="1"/>
    <cellStyle name="Hipervínculo visitado" xfId="506" builtinId="9" hidden="1"/>
    <cellStyle name="Hipervínculo visitado" xfId="1044" builtinId="9" hidden="1"/>
    <cellStyle name="Hipervínculo visitado" xfId="876" builtinId="9" hidden="1"/>
    <cellStyle name="Hipervínculo visitado" xfId="346" builtinId="9" hidden="1"/>
    <cellStyle name="Hipervínculo visitado" xfId="358" builtinId="9" hidden="1"/>
    <cellStyle name="Hipervínculo visitado" xfId="192" builtinId="9" hidden="1"/>
    <cellStyle name="Hipervínculo visitado" xfId="298" builtinId="9" hidden="1"/>
    <cellStyle name="Hipervínculo visitado" xfId="310" builtinId="9" hidden="1"/>
    <cellStyle name="Hipervínculo visitado" xfId="322" builtinId="9" hidden="1"/>
    <cellStyle name="Hipervínculo visitado" xfId="1068" builtinId="9" hidden="1"/>
    <cellStyle name="Hipervínculo visitado" xfId="286" builtinId="9" hidden="1"/>
    <cellStyle name="Hipervínculo visitado" xfId="160" builtinId="9" hidden="1"/>
    <cellStyle name="Hipervínculo visitado" xfId="710" builtinId="9" hidden="1"/>
    <cellStyle name="Hipervínculo visitado" xfId="1176" builtinId="9" hidden="1"/>
    <cellStyle name="Hipervínculo visitado" xfId="784" builtinId="9" hidden="1"/>
    <cellStyle name="Hipervínculo visitado" xfId="190" builtinId="9" hidden="1"/>
    <cellStyle name="Hipervínculo visitado" xfId="212" builtinId="9" hidden="1"/>
    <cellStyle name="Hipervínculo visitado" xfId="742" builtinId="9" hidden="1"/>
    <cellStyle name="Hipervínculo visitado" xfId="1154" builtinId="9" hidden="1"/>
    <cellStyle name="Hipervínculo visitado" xfId="848" builtinId="9" hidden="1"/>
    <cellStyle name="Hipervínculo visitado" xfId="94" builtinId="9" hidden="1"/>
    <cellStyle name="Hipervínculo visitado" xfId="82" builtinId="9" hidden="1"/>
    <cellStyle name="Hipervínculo visitado" xfId="558" builtinId="9" hidden="1"/>
    <cellStyle name="Hipervínculo visitado" xfId="1058" builtinId="9" hidden="1"/>
    <cellStyle name="Hipervínculo visitado" xfId="912" builtinId="9" hidden="1"/>
    <cellStyle name="Hipervínculo visitado" xfId="62" builtinId="9" hidden="1"/>
    <cellStyle name="Hipervínculo visitado" xfId="404" builtinId="9" hidden="1"/>
    <cellStyle name="Hipervínculo visitado" xfId="934" builtinId="9" hidden="1"/>
    <cellStyle name="Hipervínculo visitado" xfId="962" builtinId="9" hidden="1"/>
    <cellStyle name="Hipervínculo visitado" xfId="944" builtinId="9" hidden="1"/>
    <cellStyle name="Hipervínculo visitado" xfId="12" builtinId="9" hidden="1"/>
    <cellStyle name="Hipervínculo visitado" xfId="500" builtinId="9" hidden="1"/>
    <cellStyle name="Hipervínculo visitado" xfId="454" builtinId="9" hidden="1"/>
    <cellStyle name="Hipervínculo visitado" xfId="866" builtinId="9" hidden="1"/>
    <cellStyle name="Hipervínculo visitado" xfId="752" builtinId="9" hidden="1"/>
    <cellStyle name="Hipervínculo visitado" xfId="66" builtinId="9" hidden="1"/>
    <cellStyle name="Hipervínculo visitado" xfId="596" builtinId="9" hidden="1"/>
    <cellStyle name="Hipervínculo visitado" xfId="1126" builtinId="9" hidden="1"/>
    <cellStyle name="Hipervínculo visitado" xfId="770" builtinId="9" hidden="1"/>
    <cellStyle name="Hipervínculo visitado" xfId="528" builtinId="9" hidden="1"/>
    <cellStyle name="Hipervínculo visitado" xfId="734" builtinId="9" hidden="1"/>
    <cellStyle name="Hipervínculo visitado" xfId="296" builtinId="9" hidden="1"/>
    <cellStyle name="Hipervínculo visitado" xfId="208" builtinId="9" hidden="1"/>
    <cellStyle name="Hipervínculo visitado" xfId="990" builtinId="9" hidden="1"/>
    <cellStyle name="Hipervínculo visitado" xfId="592" builtinId="9" hidden="1"/>
    <cellStyle name="Hipervínculo visitado" xfId="258" builtinId="9" hidden="1"/>
    <cellStyle name="Hipervínculo visitado" xfId="788" builtinId="9" hidden="1"/>
    <cellStyle name="Hipervínculo visitado" xfId="1108" builtinId="9" hidden="1"/>
    <cellStyle name="Hipervínculo visitado" xfId="578" builtinId="9" hidden="1"/>
    <cellStyle name="Hipervínculo visitado" xfId="496" builtinId="9" hidden="1"/>
    <cellStyle name="Hipervínculo visitado" xfId="354" builtinId="9" hidden="1"/>
    <cellStyle name="Hipervínculo visitado" xfId="884" builtinId="9" hidden="1"/>
    <cellStyle name="Hipervínculo visitado" xfId="198" builtinId="9" hidden="1"/>
    <cellStyle name="Hipervínculo visitado" xfId="482" builtinId="9" hidden="1"/>
    <cellStyle name="Hipervínculo visitado" xfId="464" builtinId="9" hidden="1"/>
    <cellStyle name="Hipervínculo visitado" xfId="450" builtinId="9" hidden="1"/>
    <cellStyle name="Hipervínculo visitado" xfId="980" builtinId="9" hidden="1"/>
    <cellStyle name="Hipervínculo visitado" xfId="916" builtinId="9" hidden="1"/>
    <cellStyle name="Hipervínculo visitado" xfId="386" builtinId="9" hidden="1"/>
    <cellStyle name="Hipervínculo visitado" xfId="512" builtinId="9" hidden="1"/>
    <cellStyle name="Hipervínculo visitado" xfId="546" builtinId="9" hidden="1"/>
    <cellStyle name="Hipervínculo visitado" xfId="338" builtinId="9" hidden="1"/>
    <cellStyle name="Hipervínculo visitado" xfId="466" builtinId="9" hidden="1"/>
    <cellStyle name="Hipervínculo visitado" xfId="290" builtinId="9" hidden="1"/>
    <cellStyle name="Hipervínculo visitado" xfId="608" builtinId="9" hidden="1"/>
    <cellStyle name="Hipervínculo visitado" xfId="642" builtinId="9" hidden="1"/>
    <cellStyle name="Hipervínculo visitado" xfId="1172" builtinId="9" hidden="1"/>
    <cellStyle name="Hipervínculo visitado" xfId="724" builtinId="9" hidden="1"/>
    <cellStyle name="Hipervínculo visitado" xfId="194" builtinId="9" hidden="1"/>
    <cellStyle name="Hipervínculo visitado" xfId="544" builtinId="9" hidden="1"/>
    <cellStyle name="Hipervínculo visitado" xfId="738" builtinId="9" hidden="1"/>
    <cellStyle name="Hipervínculo visitado" xfId="326" builtinId="9" hidden="1"/>
    <cellStyle name="Hipervínculo visitado" xfId="628" builtinId="9" hidden="1"/>
    <cellStyle name="Hipervínculo visitado" xfId="98" builtinId="9" hidden="1"/>
    <cellStyle name="Hipervínculo visitado" xfId="688" builtinId="9" hidden="1"/>
    <cellStyle name="Hipervínculo visitado" xfId="834" builtinId="9" hidden="1"/>
    <cellStyle name="Hipervínculo visitado" xfId="1062" builtinId="9" hidden="1"/>
    <cellStyle name="Hipervínculo visitado" xfId="532" builtinId="9" hidden="1"/>
    <cellStyle name="Hipervínculo visitado" xfId="388" builtinId="9" hidden="1"/>
    <cellStyle name="Hipervínculo visitado" xfId="248" builtinId="9" hidden="1"/>
    <cellStyle name="Hipervínculo visitado" xfId="1014" builtinId="9" hidden="1"/>
    <cellStyle name="Hipervínculo visitado" xfId="22" builtinId="9" hidden="1"/>
    <cellStyle name="Hipervínculo visitado" xfId="880" builtinId="9" hidden="1"/>
    <cellStyle name="Hipervínculo visitado" xfId="508" builtinId="9" hidden="1"/>
    <cellStyle name="Hipervínculo visitado" xfId="888" builtinId="9" hidden="1"/>
    <cellStyle name="Hipervínculo visitado" xfId="900" builtinId="9" hidden="1"/>
    <cellStyle name="Hipervínculo visitado" xfId="870" builtinId="9" hidden="1"/>
    <cellStyle name="Hipervínculo visitado" xfId="340" builtinId="9" hidden="1"/>
    <cellStyle name="Hipervínculo visitado" xfId="24" builtinId="9" hidden="1"/>
    <cellStyle name="Hipervínculo visitado" xfId="864" builtinId="9" hidden="1"/>
    <cellStyle name="Hipervínculo visitado" xfId="1122" builtinId="9" hidden="1"/>
    <cellStyle name="Hipervínculo visitado" xfId="582" builtinId="9" hidden="1"/>
    <cellStyle name="Hipervínculo visitado" xfId="244" builtinId="9" hidden="1"/>
    <cellStyle name="Hipervínculo visitado" xfId="158" builtinId="9" hidden="1"/>
    <cellStyle name="Hipervínculo visitado" xfId="800" builtinId="9" hidden="1"/>
    <cellStyle name="Hipervínculo visitado" xfId="1209" builtinId="9" hidden="1"/>
    <cellStyle name="Hipervínculo visitado" xfId="678" builtinId="9" hidden="1"/>
    <cellStyle name="Hipervínculo visitado" xfId="136" builtinId="9" hidden="1"/>
    <cellStyle name="Hipervínculo visitado" xfId="254" builtinId="9" hidden="1"/>
    <cellStyle name="Hipervínculo visitado" xfId="736" builtinId="9" hidden="1"/>
    <cellStyle name="Hipervínculo visitado" xfId="1112" builtinId="9" hidden="1"/>
    <cellStyle name="Hipervínculo visitado" xfId="1070" builtinId="9" hidden="1"/>
    <cellStyle name="Hipervínculo visitado" xfId="14" builtinId="9" hidden="1"/>
    <cellStyle name="Hipervínculo visitado" xfId="350" builtinId="9" hidden="1"/>
    <cellStyle name="Hipervínculo visitado" xfId="672" builtinId="9" hidden="1"/>
    <cellStyle name="Hipervínculo visitado" xfId="1016" builtinId="9" hidden="1"/>
    <cellStyle name="Hipervínculo visitado" xfId="486" builtinId="9" hidden="1"/>
    <cellStyle name="Hipervínculo visitado" xfId="80" builtinId="9" hidden="1"/>
    <cellStyle name="Hipervínculo visitado" xfId="446" builtinId="9" hidden="1"/>
    <cellStyle name="Hipervínculo visitado" xfId="976" builtinId="9" hidden="1"/>
    <cellStyle name="Hipervínculo visitado" xfId="920" builtinId="9" hidden="1"/>
    <cellStyle name="Hipervínculo visitado" xfId="838" builtinId="9" hidden="1"/>
    <cellStyle name="Hipervínculo visitado" xfId="84" builtinId="9" hidden="1"/>
    <cellStyle name="Hipervínculo visitado" xfId="542" builtinId="9" hidden="1"/>
    <cellStyle name="Hipervínculo visitado" xfId="1072" builtinId="9" hidden="1"/>
    <cellStyle name="Hipervínculo visitado" xfId="824" builtinId="9" hidden="1"/>
    <cellStyle name="Hipervínculo visitado" xfId="294" builtinId="9" hidden="1"/>
    <cellStyle name="Hipervínculo visitado" xfId="164" builtinId="9" hidden="1"/>
    <cellStyle name="Hipervínculo visitado" xfId="638" builtinId="9" hidden="1"/>
    <cellStyle name="Hipervínculo visitado" xfId="1168" builtinId="9" hidden="1"/>
    <cellStyle name="Hipervínculo visitado" xfId="668" builtinId="9" hidden="1"/>
    <cellStyle name="Hipervínculo visitado" xfId="472" builtinId="9" hidden="1"/>
    <cellStyle name="Hipervínculo visitado" xfId="728" builtinId="9" hidden="1"/>
    <cellStyle name="Hipervínculo visitado" xfId="16" builtinId="9" hidden="1"/>
    <cellStyle name="Hipervínculo visitado" xfId="1162" builtinId="9" hidden="1"/>
    <cellStyle name="Hipervínculo visitado" xfId="632" builtinId="9" hidden="1"/>
    <cellStyle name="Hipervínculo visitado" xfId="102" builtinId="9" hidden="1"/>
    <cellStyle name="Hipervínculo visitado" xfId="300" builtinId="9" hidden="1"/>
    <cellStyle name="Hipervínculo visitado" xfId="830" builtinId="9" hidden="1"/>
    <cellStyle name="Hipervínculo visitado" xfId="1066" builtinId="9" hidden="1"/>
    <cellStyle name="Hipervínculo visitado" xfId="536" builtinId="9" hidden="1"/>
    <cellStyle name="Hipervínculo visitado" xfId="1094" builtinId="9" hidden="1"/>
    <cellStyle name="Hipervínculo visitado" xfId="396" builtinId="9" hidden="1"/>
    <cellStyle name="Hipervínculo visitado" xfId="926" builtinId="9" hidden="1"/>
    <cellStyle name="Hipervínculo visitado" xfId="970" builtinId="9" hidden="1"/>
    <cellStyle name="Hipervínculo visitado" xfId="288" builtinId="9" hidden="1"/>
    <cellStyle name="Hipervínculo visitado" xfId="18" builtinId="9" hidden="1"/>
    <cellStyle name="Hipervínculo visitado" xfId="492" builtinId="9" hidden="1"/>
    <cellStyle name="Hipervínculo visitado" xfId="1022" builtinId="9" hidden="1"/>
    <cellStyle name="Hipervínculo visitado" xfId="874" builtinId="9" hidden="1"/>
    <cellStyle name="Hipervínculo visitado" xfId="352" builtinId="9" hidden="1"/>
    <cellStyle name="Hipervínculo visitado" xfId="308" builtinId="9" hidden="1"/>
    <cellStyle name="Hipervínculo visitado" xfId="430" builtinId="9" hidden="1"/>
    <cellStyle name="Hipervínculo visitado" xfId="1118" builtinId="9" hidden="1"/>
    <cellStyle name="Hipervínculo visitado" xfId="778" builtinId="9" hidden="1"/>
    <cellStyle name="Hipervínculo visitado" xfId="416" builtinId="9" hidden="1"/>
    <cellStyle name="Hipervínculo visitado" xfId="376" builtinId="9" hidden="1"/>
    <cellStyle name="Hipervínculo visitado" xfId="1188" builtinId="9" hidden="1"/>
    <cellStyle name="Hipervínculo visitado" xfId="576" builtinId="9" hidden="1"/>
    <cellStyle name="Hipervínculo visitado" xfId="1213" builtinId="9" hidden="1"/>
    <cellStyle name="Hipervínculo visitado" xfId="178" builtinId="9" hidden="1"/>
    <cellStyle name="Hipervínculo visitado" xfId="1190" builtinId="9" hidden="1"/>
    <cellStyle name="Hipervínculo visitado" xfId="154" builtinId="9" hidden="1"/>
    <cellStyle name="Hipervínculo visitado" xfId="754" builtinId="9" hidden="1"/>
    <cellStyle name="Hipervínculo visitado" xfId="922" builtinId="9" hidden="1"/>
    <cellStyle name="Hipervínculo visitado" xfId="202" builtinId="9" hidden="1"/>
    <cellStyle name="Hipervínculo visitado" xfId="1164" builtinId="9" hidden="1"/>
    <cellStyle name="Hipervínculo visitado" xfId="262" builtinId="9" hidden="1"/>
    <cellStyle name="Hipervínculo visitado" xfId="1076" builtinId="9" hidden="1"/>
    <cellStyle name="Hipervínculo visitado" xfId="1158" builtinId="9" hidden="1"/>
    <cellStyle name="Hipervínculo visitado" xfId="274" builtinId="9" hidden="1"/>
    <cellStyle name="Hipervínculo visitado" xfId="1116" builtinId="9" hidden="1"/>
    <cellStyle name="Hipervínculo visitado" xfId="610" builtinId="9" hidden="1"/>
    <cellStyle name="Hipervínculo visitado" xfId="280" builtinId="9" hidden="1"/>
    <cellStyle name="Hipervínculo visitado" xfId="756" builtinId="9" hidden="1"/>
    <cellStyle name="Hipervínculo visitado" xfId="314" builtinId="9" hidden="1"/>
    <cellStyle name="Hipervínculo visitado" xfId="780" builtinId="9" hidden="1"/>
    <cellStyle name="Hipervínculo visitado" xfId="732" builtinId="9" hidden="1"/>
    <cellStyle name="Hipervínculo visitado" xfId="448" builtinId="9" hidden="1"/>
    <cellStyle name="Hipervínculo visitado" xfId="1166" builtinId="9" hidden="1"/>
    <cellStyle name="Hipervínculo visitado" xfId="660" builtinId="9" hidden="1"/>
    <cellStyle name="Hipervínculo visitado" xfId="1184" builtinId="9" hidden="1"/>
    <cellStyle name="Hipervínculo visitado" xfId="684" builtinId="9" hidden="1"/>
    <cellStyle name="Hipervínculo visitado" xfId="706" builtinId="9" hidden="1"/>
    <cellStyle name="Hipervínculo visitado" xfId="708" builtinId="9" hidden="1"/>
    <cellStyle name="Hipervínculo visitado" xfId="682" builtinId="9" hidden="1"/>
    <cellStyle name="Hipervínculo visitado" xfId="226" builtinId="9" hidden="1"/>
    <cellStyle name="Hipervínculo visitado" xfId="658" builtinId="9" hidden="1"/>
    <cellStyle name="Hipervínculo visitado" xfId="636" builtinId="9" hidden="1"/>
    <cellStyle name="Hipervínculo visitado" xfId="106" builtinId="9" hidden="1"/>
    <cellStyle name="Hipervínculo visitado" xfId="384" builtinId="9" hidden="1"/>
    <cellStyle name="Hipervínculo visitado" xfId="184" builtinId="9" hidden="1"/>
    <cellStyle name="Hipervínculo visitado" xfId="942" builtinId="9" hidden="1"/>
    <cellStyle name="Hipervínculo visitado" xfId="540" builtinId="9" hidden="1"/>
    <cellStyle name="Hipervínculo visitado" xfId="58" builtinId="9" hidden="1"/>
    <cellStyle name="Hipervínculo visitado" xfId="320" builtinId="9" hidden="1"/>
    <cellStyle name="Hipervínculo visitado" xfId="794" builtinId="9" hidden="1"/>
    <cellStyle name="Hipervínculo visitado" xfId="974" builtinId="9" hidden="1"/>
    <cellStyle name="Hipervínculo visitado" xfId="444" builtinId="9" hidden="1"/>
    <cellStyle name="Hipervínculo visitado" xfId="20" builtinId="9" hidden="1"/>
    <cellStyle name="Hipervínculo visitado" xfId="488" builtinId="9" hidden="1"/>
    <cellStyle name="Hipervínculo visitado" xfId="390" builtinId="9" hidden="1"/>
    <cellStyle name="Hipervínculo visitado" xfId="878" builtinId="9" hidden="1"/>
    <cellStyle name="Hipervínculo visitado" xfId="348" builtinId="9" hidden="1"/>
    <cellStyle name="Hipervínculo visitado" xfId="28" builtinId="9" hidden="1"/>
    <cellStyle name="Hipervínculo visitado" xfId="584" builtinId="9" hidden="1"/>
    <cellStyle name="Hipervínculo visitado" xfId="666" builtinId="9" hidden="1"/>
    <cellStyle name="Hipervínculo visitado" xfId="782" builtinId="9" hidden="1"/>
    <cellStyle name="Hipervínculo visitado" xfId="252" builtinId="9" hidden="1"/>
    <cellStyle name="Hipervínculo visitado" xfId="150" builtinId="9" hidden="1"/>
    <cellStyle name="Hipervínculo visitado" xfId="228" builtinId="9" hidden="1"/>
    <cellStyle name="Hipervínculo visitado" xfId="936" builtinId="9" hidden="1"/>
    <cellStyle name="Hipervínculo visitado" xfId="1180" builtinId="9" hidden="1"/>
    <cellStyle name="Hipervínculo visitado" xfId="930" builtinId="9" hidden="1"/>
    <cellStyle name="Hipervínculo visitado" xfId="246" builtinId="9" hidden="1"/>
    <cellStyle name="Hipervínculo visitado" xfId="776" builtinId="9" hidden="1"/>
    <cellStyle name="Hipervínculo visitado" xfId="538" builtinId="9" hidden="1"/>
    <cellStyle name="Hipervínculo visitado" xfId="590" builtinId="9" hidden="1"/>
    <cellStyle name="Hipervínculo visitado" xfId="188" builtinId="9" hidden="1"/>
    <cellStyle name="Hipervínculo visitado" xfId="342" builtinId="9" hidden="1"/>
    <cellStyle name="Hipervínculo visitado" xfId="872" builtinId="9" hidden="1"/>
    <cellStyle name="Hipervínculo visitado" xfId="26" builtinId="9" hidden="1"/>
    <cellStyle name="Hipervínculo visitado" xfId="494" builtinId="9" hidden="1"/>
    <cellStyle name="Hipervínculo visitado" xfId="76" builtinId="9" hidden="1"/>
    <cellStyle name="Hipervínculo visitado" xfId="438" builtinId="9" hidden="1"/>
    <cellStyle name="Hipervínculo visitado" xfId="968" builtinId="9" hidden="1"/>
    <cellStyle name="Hipervínculo visitado" xfId="474" builtinId="9" hidden="1"/>
    <cellStyle name="Hipervínculo visitado" xfId="398" builtinId="9" hidden="1"/>
    <cellStyle name="Hipervínculo visitado" xfId="88" builtinId="9" hidden="1"/>
    <cellStyle name="Hipervínculo visitado" xfId="534" builtinId="9" hidden="1"/>
    <cellStyle name="Hipervínculo visitado" xfId="1064" builtinId="9" hidden="1"/>
    <cellStyle name="Hipervínculo visitado" xfId="564" builtinId="9" hidden="1"/>
    <cellStyle name="Hipervínculo visitado" xfId="972" builtinId="9" hidden="1"/>
    <cellStyle name="Hipervínculo visitado" xfId="168" builtinId="9" hidden="1"/>
    <cellStyle name="Hipervínculo visitado" xfId="630" builtinId="9" hidden="1"/>
    <cellStyle name="Hipervínculo visitado" xfId="1160" builtinId="9" hidden="1"/>
    <cellStyle name="Hipervínculo visitado" xfId="858" builtinId="9" hidden="1"/>
    <cellStyle name="Hipervínculo visitado" xfId="206" builtinId="9" hidden="1"/>
    <cellStyle name="Hipervínculo visitado" xfId="196" builtinId="9" hidden="1"/>
    <cellStyle name="Hipervínculo visitado" xfId="726" builtinId="9" hidden="1"/>
    <cellStyle name="Hipervínculo visitado" xfId="1170" builtinId="9" hidden="1"/>
    <cellStyle name="Hipervínculo visitado" xfId="70" builtinId="9" hidden="1"/>
    <cellStyle name="Hipervínculo visitado" xfId="110" builtinId="9" hidden="1"/>
    <cellStyle name="Hipervínculo visitado" xfId="292" builtinId="9" hidden="1"/>
    <cellStyle name="Hipervínculo visitado" xfId="822" builtinId="9" hidden="1"/>
    <cellStyle name="Hipervínculo visitado" xfId="1074" builtinId="9" hidden="1"/>
    <cellStyle name="Hipervínculo visitado" xfId="1120" builtinId="9" hidden="1"/>
    <cellStyle name="Hipervínculo visitado" xfId="56" builtinId="9" hidden="1"/>
    <cellStyle name="Hipervínculo visitado" xfId="894" builtinId="9" hidden="1"/>
    <cellStyle name="Hipervínculo visitado" xfId="370" builtinId="9" hidden="1"/>
    <cellStyle name="Hipervínculo visitado" xfId="656" builtinId="9" hidden="1"/>
    <cellStyle name="Hipervínculo visitado" xfId="918" builtinId="9" hidden="1"/>
    <cellStyle name="Hipervínculo visitado" xfId="480" builtinId="9" hidden="1"/>
    <cellStyle name="Hipervínculo visitado" xfId="882" builtinId="9" hidden="1"/>
    <cellStyle name="Hipervínculo visitado" xfId="382" builtinId="9" hidden="1"/>
    <cellStyle name="Hipervínculo visitado" xfId="394" builtinId="9" hidden="1"/>
    <cellStyle name="Hipervínculo visitado" xfId="1178" builtinId="9" hidden="1"/>
    <cellStyle name="Hipervínculo visitado" xfId="32" builtinId="9" hidden="1"/>
    <cellStyle name="Hipervínculo visitado" xfId="580" builtinId="9" hidden="1"/>
    <cellStyle name="Hipervínculo visitado" xfId="1110" builtinId="9" hidden="1"/>
    <cellStyle name="Hipervínculo visitado" xfId="786" builtinId="9" hidden="1"/>
    <cellStyle name="Hipervínculo visitado" xfId="186" builtinId="9" hidden="1"/>
    <cellStyle name="Hipervínculo visitado" xfId="146" builtinId="9" hidden="1"/>
    <cellStyle name="Hipervínculo visitado" xfId="676" builtinId="9" hidden="1"/>
    <cellStyle name="Hipervínculo visitado" xfId="1207" builtinId="9" hidden="1"/>
    <cellStyle name="Hipervínculo visitado" xfId="690" builtinId="9" hidden="1"/>
    <cellStyle name="Hipervínculo visitado" xfId="1056" builtinId="9" hidden="1"/>
    <cellStyle name="Hipervínculo visitado" xfId="242" builtinId="9" hidden="1"/>
    <cellStyle name="Hipervínculo visitado" xfId="772" builtinId="9" hidden="1"/>
    <cellStyle name="Hipervínculo visitado" xfId="1124" builtinId="9" hidden="1"/>
    <cellStyle name="Hipervínculo visitado" xfId="594" builtinId="9" hidden="1"/>
    <cellStyle name="Hipervínculo visitado" xfId="820" builtinId="9" hidden="1"/>
    <cellStyle name="Hipervínculo visitado" xfId="460" builtinId="9" hidden="1"/>
    <cellStyle name="Hipervínculo visitado" xfId="868" builtinId="9" hidden="1"/>
    <cellStyle name="Hipervínculo visitado" xfId="1028" builtinId="9" hidden="1"/>
    <cellStyle name="Hipervínculo visitado" xfId="498" builtinId="9" hidden="1"/>
    <cellStyle name="Hipervínculo visitado" xfId="992" builtinId="9" hidden="1"/>
    <cellStyle name="Hipervínculo visitado" xfId="434" builtinId="9" hidden="1"/>
    <cellStyle name="Hipervínculo visitado" xfId="964" builtinId="9" hidden="1"/>
    <cellStyle name="Hipervínculo visitado" xfId="932" builtinId="9" hidden="1"/>
    <cellStyle name="Hipervínculo visitado" xfId="402" builtinId="9" hidden="1"/>
    <cellStyle name="Hipervínculo visitado" xfId="378" builtinId="9" hidden="1"/>
    <cellStyle name="Hipervínculo visitado" xfId="530" builtinId="9" hidden="1"/>
    <cellStyle name="Hipervínculo visitado" xfId="1060" builtinId="9" hidden="1"/>
    <cellStyle name="Hipervínculo visitado" xfId="836" builtinId="9" hidden="1"/>
    <cellStyle name="Hipervínculo visitado" xfId="306" builtinId="9" hidden="1"/>
    <cellStyle name="Hipervínculo visitado" xfId="1088" builtinId="9" hidden="1"/>
    <cellStyle name="Hipervínculo visitado" xfId="626" builtinId="9" hidden="1"/>
    <cellStyle name="Hipervínculo visitado" xfId="1156" builtinId="9" hidden="1"/>
    <cellStyle name="Hipervínculo visitado" xfId="984" builtinId="9" hidden="1"/>
    <cellStyle name="Hipervínculo visitado" xfId="740" builtinId="9" hidden="1"/>
    <cellStyle name="Hipervínculo visitado" xfId="722" builtinId="9" hidden="1"/>
    <cellStyle name="Hipervínculo visitado" xfId="996" builtinId="9" hidden="1"/>
    <cellStyle name="Hipervínculo visitado" xfId="1174" builtinId="9" hidden="1"/>
    <cellStyle name="Hipervínculo visitado" xfId="644" builtinId="9" hidden="1"/>
    <cellStyle name="Hipervínculo visitado" xfId="114" builtinId="9" hidden="1"/>
    <cellStyle name="Hipervínculo visitado" xfId="1146" builtinId="9" hidden="1"/>
    <cellStyle name="Hipervínculo visitado" xfId="818" builtinId="9" hidden="1"/>
    <cellStyle name="Hipervínculo visitado" xfId="1078" builtinId="9" hidden="1"/>
    <cellStyle name="Hipervínculo visitado" xfId="548" builtinId="9" hidden="1"/>
    <cellStyle name="Hipervínculo visitado" xfId="52" builtinId="9" hidden="1"/>
    <cellStyle name="Hipervínculo visitado" xfId="250" builtinId="9" hidden="1"/>
    <cellStyle name="Hipervínculo visitado" xfId="914" builtinId="9" hidden="1"/>
    <cellStyle name="Hipervínculo visitado" xfId="982" builtinId="9" hidden="1"/>
    <cellStyle name="Hipervínculo visitado" xfId="452" builtinId="9" hidden="1"/>
    <cellStyle name="Hipervínculo visitado" xfId="6" builtinId="9" hidden="1"/>
    <cellStyle name="Hipervínculo visitado" xfId="1152" builtinId="9" hidden="1"/>
    <cellStyle name="Hipervínculo visitado" xfId="1010" builtinId="9" hidden="1"/>
    <cellStyle name="Hipervínculo visitado" xfId="886" builtinId="9" hidden="1"/>
    <cellStyle name="Hipervínculo visitado" xfId="356" builtinId="9" hidden="1"/>
    <cellStyle name="Hipervínculo visitado" xfId="716" builtinId="9" hidden="1"/>
    <cellStyle name="Hipervínculo visitado" xfId="436" builtinId="9" hidden="1"/>
    <cellStyle name="Hipervínculo visitado" xfId="1106" builtinId="9" hidden="1"/>
    <cellStyle name="Hipervínculo visitado" xfId="790" builtinId="9" hidden="1"/>
    <cellStyle name="Hipervínculo visitado" xfId="260" builtinId="9" hidden="1"/>
    <cellStyle name="Hipervínculo visitado" xfId="142" builtinId="9" hidden="1"/>
    <cellStyle name="Hipervínculo visitado" xfId="986" builtinId="9" hidden="1"/>
    <cellStyle name="Hipervínculo visitado" xfId="1202" builtinId="9" hidden="1"/>
    <cellStyle name="Hipervínculo visitado" xfId="694" builtinId="9" hidden="1"/>
    <cellStyle name="Hipervínculo visitado" xfId="128" builtinId="9" hidden="1"/>
    <cellStyle name="Hipervínculo visitado" xfId="238" builtinId="9" hidden="1"/>
    <cellStyle name="Hipervínculo visitado" xfId="60" builtinId="9" hidden="1"/>
    <cellStyle name="Hipervínculo visitado" xfId="1128" builtinId="9" hidden="1"/>
    <cellStyle name="Hipervínculo visitado" xfId="852" builtinId="9" hidden="1"/>
    <cellStyle name="Hipervínculo visitado" xfId="840" builtinId="9" hidden="1"/>
    <cellStyle name="Hipervínculo visitado" xfId="828" builtinId="9" hidden="1"/>
    <cellStyle name="Hipervínculo visitado" xfId="560" builtinId="9" hidden="1"/>
    <cellStyle name="Hipervínculo visitado" xfId="598" builtinId="9" hidden="1"/>
    <cellStyle name="Hipervínculo visitado" xfId="334" builtinId="9" hidden="1"/>
    <cellStyle name="Hipervínculo visitado" xfId="1024" builtinId="9" hidden="1"/>
    <cellStyle name="Hipervínculo visitado" xfId="108" builtinId="9" hidden="1"/>
    <cellStyle name="Hipervínculo visitado" xfId="526" builtinId="9" hidden="1"/>
    <cellStyle name="Hipervínculo visitado" xfId="602" builtinId="9" hidden="1"/>
    <cellStyle name="Hipervínculo visitado" xfId="1050" builtinId="9" hidden="1"/>
    <cellStyle name="Hipervínculo visitado" xfId="1080" builtinId="9" hidden="1"/>
    <cellStyle name="Hipervínculo visitado" xfId="804" builtinId="9" hidden="1"/>
    <cellStyle name="Hipervínculo visitado" xfId="586" builtinId="9" hidden="1"/>
    <cellStyle name="Hipervínculo visitado" xfId="574" builtinId="9" hidden="1"/>
    <cellStyle name="Hipervínculo visitado" xfId="562" builtinId="9" hidden="1"/>
    <cellStyle name="Hipervínculo visitado" xfId="176" builtinId="9" hidden="1"/>
    <cellStyle name="Hipervínculo visitado" xfId="622" builtinId="9" hidden="1"/>
    <cellStyle name="Hipervínculo visitado" xfId="122" builtinId="9" hidden="1"/>
    <cellStyle name="Hipervínculo visitado" xfId="744" builtinId="9" hidden="1"/>
    <cellStyle name="Hipervínculo visitado" xfId="214" builtinId="9" hidden="1"/>
    <cellStyle name="Hipervínculo visitado" xfId="112" builtinId="9" hidden="1"/>
    <cellStyle name="Hipervínculo visitado" xfId="718" builtinId="9" hidden="1"/>
    <cellStyle name="Hipervínculo visitado" xfId="634" builtinId="9" hidden="1"/>
    <cellStyle name="Hipervínculo visitado" xfId="648" builtinId="9" hidden="1"/>
    <cellStyle name="Hipervínculo visitado" xfId="118" builtinId="9" hidden="1"/>
    <cellStyle name="Hipervínculo visitado" xfId="284" builtinId="9" hidden="1"/>
    <cellStyle name="Hipervínculo visitado" xfId="1198" builtinId="9" hidden="1"/>
    <cellStyle name="Hipervínculo visitado" xfId="204" builtinId="9" hidden="1"/>
    <cellStyle name="Hipervínculo visitado" xfId="552" builtinId="9" hidden="1"/>
    <cellStyle name="Hipervínculo visitado" xfId="50" builtinId="9" hidden="1"/>
    <cellStyle name="Hipervínculo visitado" xfId="380" builtinId="9" hidden="1"/>
    <cellStyle name="Hipervínculo visitado" xfId="910" builtinId="9" hidden="1"/>
    <cellStyle name="Hipervínculo visitado" xfId="762" builtinId="9" hidden="1"/>
    <cellStyle name="Hipervínculo visitado" xfId="456" builtinId="9" hidden="1"/>
    <cellStyle name="Hipervínculo visitado" xfId="8" builtinId="9" hidden="1"/>
    <cellStyle name="Hipervínculo visitado" xfId="476" builtinId="9" hidden="1"/>
    <cellStyle name="Hipervínculo visitado" xfId="1006" builtinId="9" hidden="1"/>
    <cellStyle name="Hipervínculo visitado" xfId="646" builtinId="9" hidden="1"/>
    <cellStyle name="Hipervínculo visitado" xfId="336" builtinId="9" hidden="1"/>
    <cellStyle name="Hipervínculo visitado" xfId="36" builtinId="9" hidden="1"/>
    <cellStyle name="Hipervínculo visitado" xfId="572" builtinId="9" hidden="1"/>
    <cellStyle name="Hipervínculo visitado" xfId="1102" builtinId="9" hidden="1"/>
    <cellStyle name="Hipervínculo visitado" xfId="890" builtinId="9" hidden="1"/>
    <cellStyle name="Hipervínculo visitado" xfId="400" builtinId="9" hidden="1"/>
    <cellStyle name="Hipervínculo visitado" xfId="138" builtinId="9" hidden="1"/>
    <cellStyle name="Hipervínculo visitado" xfId="418" builtinId="9" hidden="1"/>
    <cellStyle name="Hipervínculo visitado" xfId="222" builtinId="9" hidden="1"/>
    <cellStyle name="Hipervínculo visitado" xfId="1192" builtinId="9" hidden="1"/>
    <cellStyle name="Hipervínculo visitado" xfId="92" builtinId="9" hidden="1"/>
    <cellStyle name="Hipervínculo visitado" xfId="234" builtinId="9" hidden="1"/>
    <cellStyle name="Hipervínculo visitado" xfId="764" builtinId="9" hidden="1"/>
    <cellStyle name="Hipervínculo visitado" xfId="1132" builtinId="9" hidden="1"/>
    <cellStyle name="Hipervínculo visitado" xfId="1018" builtinId="9" hidden="1"/>
    <cellStyle name="Hipervínculo visitado" xfId="240" builtinId="9" hidden="1"/>
    <cellStyle name="Hipervínculo visitado" xfId="330" builtinId="9" hidden="1"/>
    <cellStyle name="Hipervínculo visitado" xfId="860" builtinId="9" hidden="1"/>
    <cellStyle name="Hipervínculo visitado" xfId="1036" builtinId="9" hidden="1"/>
    <cellStyle name="Hipervínculo visitado" xfId="1012" builtinId="9" hidden="1"/>
    <cellStyle name="Hipervínculo visitado" xfId="224" builtinId="9" hidden="1"/>
    <cellStyle name="Hipervínculo visitado" xfId="426" builtinId="9" hidden="1"/>
    <cellStyle name="Hipervínculo visitado" xfId="956" builtinId="9" hidden="1"/>
    <cellStyle name="Hipervínculo visitado" xfId="940" builtinId="9" hidden="1"/>
    <cellStyle name="Hipervínculo visitado" xfId="410" builtinId="9" hidden="1"/>
    <cellStyle name="Hipervínculo visitado" xfId="216" builtinId="9" hidden="1"/>
    <cellStyle name="Hipervínculo visitado" xfId="522" builtinId="9" hidden="1"/>
    <cellStyle name="Hipervínculo visitado" xfId="1052" builtinId="9" hidden="1"/>
    <cellStyle name="Hipervínculo visitado" xfId="686" builtinId="9" hidden="1"/>
    <cellStyle name="Hipervínculo visitado" xfId="116" builtinId="9" hidden="1"/>
    <cellStyle name="Hipervínculo visitado" xfId="232" builtinId="9" hidden="1"/>
    <cellStyle name="Hipervínculo visitado" xfId="618" builtinId="9" hidden="1"/>
    <cellStyle name="Hipervínculo visitado" xfId="1148" builtinId="9" hidden="1"/>
    <cellStyle name="Hipervínculo visitado" xfId="748" builtinId="9" hidden="1"/>
    <cellStyle name="Hipervínculo visitado" xfId="218" builtinId="9" hidden="1"/>
    <cellStyle name="Hipervínculo visitado" xfId="440" builtinId="9" hidden="1"/>
    <cellStyle name="Hipervínculo visitado" xfId="714" builtinId="9" hidden="1"/>
    <cellStyle name="Hipervínculo visitado" xfId="1182" builtinId="9" hidden="1"/>
    <cellStyle name="Hipervínculo visitado" xfId="652" builtinId="9" hidden="1"/>
    <cellStyle name="Hipervínculo visitado" xfId="1140" builtinId="9" hidden="1"/>
    <cellStyle name="Hipervínculo visitado" xfId="392" builtinId="9" hidden="1"/>
    <cellStyle name="Hipervínculo visitado" xfId="810" builtinId="9" hidden="1"/>
    <cellStyle name="Hipervínculo visitado" xfId="1086" builtinId="9" hidden="1"/>
    <cellStyle name="Hipervínculo visitado" xfId="556" builtinId="9" hidden="1"/>
    <cellStyle name="Hipervínculo visitado" xfId="48" builtinId="9" hidden="1"/>
    <cellStyle name="Hipervínculo visitado" xfId="502" builtinId="9" hidden="1"/>
    <cellStyle name="Hipervínculo visitado" xfId="1026" builtinId="9" hidden="1"/>
    <cellStyle name="Hipervínculo visitado" xfId="64" builtinId="9" hidden="1"/>
    <cellStyle name="Hipervínculo visitado" xfId="1008" builtinId="9" hidden="1"/>
    <cellStyle name="Hipervínculo visitado" xfId="490" builtinId="9" hidden="1"/>
    <cellStyle name="Hipervínculo visitado" xfId="906" builtinId="9" hidden="1"/>
    <cellStyle name="Hipervínculo visitado" xfId="520" builtinId="9" hidden="1"/>
    <cellStyle name="Hipervínculo visitado" xfId="96" builtinId="9" hidden="1"/>
    <cellStyle name="Hipervínculo visitado" xfId="364" builtinId="9" hidden="1"/>
    <cellStyle name="Hipervínculo visitado" xfId="40" builtinId="9" hidden="1"/>
    <cellStyle name="Hipervínculo visitado" xfId="568" builtinId="9" hidden="1"/>
    <cellStyle name="Hipervínculo visitado" xfId="1098" builtinId="9" hidden="1"/>
    <cellStyle name="Hipervínculo visitado" xfId="798" builtinId="9" hidden="1"/>
    <cellStyle name="Hipervínculo visitado" xfId="268" builtinId="9" hidden="1"/>
    <cellStyle name="Hipervínculo visitado" xfId="1030" builtinId="9" hidden="1"/>
    <cellStyle name="Hipervínculo visitado" xfId="664" builtinId="9" hidden="1"/>
    <cellStyle name="Hipervínculo visitado" xfId="1194" builtinId="9" hidden="1"/>
    <cellStyle name="Hipervínculo visitado" xfId="702" builtinId="9" hidden="1"/>
    <cellStyle name="Hipervínculo visitado" xfId="120" builtinId="9" hidden="1"/>
    <cellStyle name="Hipervínculo visitado" xfId="230" builtinId="9" hidden="1"/>
    <cellStyle name="Hipervínculo visitado" xfId="760" builtinId="9" hidden="1"/>
    <cellStyle name="Hipervínculo visitado" xfId="1136" builtinId="9" hidden="1"/>
    <cellStyle name="Hipervínculo visitado" xfId="606" builtinId="9" hidden="1"/>
    <cellStyle name="Hipervínculo visitado" xfId="174" builtinId="9" hidden="1"/>
    <cellStyle name="Hipervínculo visitado" xfId="844" builtinId="9" hidden="1"/>
    <cellStyle name="Hipervínculo visitado" xfId="856" builtinId="9" hidden="1"/>
    <cellStyle name="Hipervínculo visitado" xfId="1040" builtinId="9" hidden="1"/>
    <cellStyle name="Hipervínculo visitado" xfId="510" builtinId="9" hidden="1"/>
    <cellStyle name="Hipervínculo visitado" xfId="104" builtinId="9" hidden="1"/>
    <cellStyle name="Hipervínculo visitado" xfId="422" builtinId="9" hidden="1"/>
    <cellStyle name="Hipervínculo visitado" xfId="952" builtinId="9" hidden="1"/>
    <cellStyle name="Hipervínculo visitado" xfId="640" builtinId="9" hidden="1"/>
    <cellStyle name="Hipervínculo visitado" xfId="414" builtinId="9" hidden="1"/>
    <cellStyle name="Hipervínculo visitado" xfId="100" builtinId="9" hidden="1"/>
    <cellStyle name="Hipervínculo visitado" xfId="774" builtinId="9" hidden="1"/>
    <cellStyle name="Hipervínculo visitado" xfId="1048" builtinId="9" hidden="1"/>
    <cellStyle name="Hipervínculo visitado" xfId="704" builtinId="9" hidden="1"/>
    <cellStyle name="Hipervínculo visitado" xfId="318" builtinId="9" hidden="1"/>
    <cellStyle name="Hipervínculo visitado" xfId="180" builtinId="9" hidden="1"/>
    <cellStyle name="Hipervínculo visitado" xfId="614" builtinId="9" hidden="1"/>
    <cellStyle name="Hipervínculo visitado" xfId="1144" builtinId="9" hidden="1"/>
    <cellStyle name="Hipervínculo visitado" xfId="768" builtinId="9" hidden="1"/>
    <cellStyle name="Hipervínculo visitado" xfId="478" builtinId="9" hidden="1"/>
    <cellStyle name="Hipervínculo visitado" xfId="680" builtinId="9" hidden="1"/>
    <cellStyle name="Hipervínculo visitado" xfId="432" builtinId="9" hidden="1"/>
    <cellStyle name="Hipervínculo visitado" xfId="924" builtinId="9" hidden="1"/>
    <cellStyle name="Hipervínculo visitado" xfId="832" builtinId="9" hidden="1"/>
    <cellStyle name="Hipervínculo visitado" xfId="126" builtinId="9" hidden="1"/>
    <cellStyle name="Hipervínculo visitado" xfId="276" builtinId="9" hidden="1"/>
    <cellStyle name="Hipervínculo visitado" xfId="806" builtinId="9" hidden="1"/>
    <cellStyle name="Hipervínculo visitado" xfId="1090" builtinId="9" hidden="1"/>
    <cellStyle name="Hipervínculo visitado" xfId="896" builtinId="9" hidden="1"/>
    <cellStyle name="Hipervínculo visitado" xfId="1046" builtinId="9" hidden="1"/>
    <cellStyle name="Hipervínculo visitado" xfId="816" builtinId="9" hidden="1"/>
    <cellStyle name="Hipervínculo visitado" xfId="516" builtinId="9" hidden="1"/>
    <cellStyle name="Hipervínculo visitado" xfId="38" builtinId="9" hidden="1"/>
    <cellStyle name="Hipervínculo visitado" xfId="998" builtinId="9" hidden="1"/>
    <cellStyle name="Hipervínculo visitado" xfId="1211" builtinId="9" hidden="1"/>
    <cellStyle name="Hipervínculo visitado" xfId="946" builtinId="9" hidden="1"/>
    <cellStyle name="Hipervínculo visitado" xfId="2" builtinId="9" hidden="1"/>
    <cellStyle name="Hipervínculo visitado" xfId="950" builtinId="9" hidden="1"/>
    <cellStyle name="Hipervínculo visitado" xfId="420" builtinId="9" hidden="1"/>
    <cellStyle name="Hipervínculo visitado" xfId="994" builtinId="9" hidden="1"/>
    <cellStyle name="Hipervínculo visitado" xfId="30" builtinId="9" hidden="1"/>
    <cellStyle name="Hipervínculo visitado" xfId="54" builtinId="9" hidden="1"/>
    <cellStyle name="Hipervínculo visitado" xfId="372" builtinId="9" hidden="1"/>
    <cellStyle name="Hipervínculo visitado" xfId="1042" builtinId="9" hidden="1"/>
    <cellStyle name="Hipervínculo visitado" xfId="854" builtinId="9" hidden="1"/>
    <cellStyle name="Hipervínculo visitado" xfId="44" builtinId="9" hidden="1"/>
    <cellStyle name="Hipervínculo visitado" xfId="518" builtinId="9" hidden="1"/>
    <cellStyle name="Hipervínculo visitado" xfId="960" builtinId="9" hidden="1"/>
    <cellStyle name="Hipervínculo visitado" xfId="468" builtinId="9" hidden="1"/>
    <cellStyle name="Hipervínculo visitado" xfId="898" builtinId="9" hidden="1"/>
    <cellStyle name="Hipervínculo visitado" xfId="42" builtinId="9" hidden="1"/>
    <cellStyle name="Hipervínculo visitado" xfId="802" builtinId="9" hidden="1"/>
    <cellStyle name="Hipervínculo visitado" xfId="588" builtinId="9" hidden="1"/>
    <cellStyle name="Hipervínculo visitado" xfId="692" builtinId="9" hidden="1"/>
    <cellStyle name="Hipervínculo visitado" xfId="210" builtinId="9" hidden="1"/>
    <cellStyle name="Hipervínculo visitado" xfId="850" builtinId="9" hidden="1"/>
    <cellStyle name="Hipervínculo visitado" xfId="34" builtinId="9" hidden="1"/>
    <cellStyle name="Hipervínculo visitado" xfId="624" builtinId="9" hidden="1"/>
    <cellStyle name="Hipervínculo visitado" xfId="612" builtinId="9" hidden="1"/>
    <cellStyle name="Hipervínculo visitado" xfId="1142" builtinId="9" hidden="1"/>
    <cellStyle name="Hipervínculo visitado" xfId="130" builtinId="9" hidden="1"/>
    <cellStyle name="Millares" xfId="1205" builtinId="3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medium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vertAlign val="baseline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8348E.DC1650C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577215</xdr:colOff>
      <xdr:row>2</xdr:row>
      <xdr:rowOff>97155</xdr:rowOff>
    </xdr:from>
    <xdr:ext cx="933450" cy="695325"/>
    <xdr:pic>
      <xdr:nvPicPr>
        <xdr:cNvPr id="3" name="Imagen 2">
          <a:extLst>
            <a:ext uri="{FF2B5EF4-FFF2-40B4-BE49-F238E27FC236}">
              <a16:creationId xmlns:a16="http://schemas.microsoft.com/office/drawing/2014/main" id="{65A09090-3A73-41AB-818D-D5DDA8DD54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5" t="14528" r="80143" b="19189"/>
        <a:stretch>
          <a:fillRect/>
        </a:stretch>
      </xdr:blipFill>
      <xdr:spPr bwMode="auto">
        <a:xfrm>
          <a:off x="15941040" y="630555"/>
          <a:ext cx="933450" cy="6953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nie.montoya/AppData/Local/Microsoft/Windows/INetCache/Content.Outlook/QRMUD3E3/Ordenes%20de%20Produccion%20TEMPLATE%202021%20(BALANC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OBAS (TEMPLATE)"/>
      <sheetName val="INFO2"/>
      <sheetName val="MOLINO (TEMPLATE)"/>
      <sheetName val="MOLINO (TEMPLATE) (2)"/>
      <sheetName val="INFO"/>
      <sheetName val="BALANCE"/>
    </sheetNames>
    <sheetDataSet>
      <sheetData sheetId="0">
        <row r="11">
          <cell r="I11">
            <v>0</v>
          </cell>
        </row>
      </sheetData>
      <sheetData sheetId="1">
        <row r="1">
          <cell r="A1" t="str">
            <v>CODIGO</v>
          </cell>
          <cell r="B1" t="str">
            <v>DESCRIPCION DEL PRODUCTO</v>
          </cell>
          <cell r="C1" t="str">
            <v>PESO</v>
          </cell>
        </row>
        <row r="2">
          <cell r="A2" t="str">
            <v>PT-102-001</v>
          </cell>
          <cell r="B2" t="str">
            <v>ARROZ MANHATTAN ORO 4 LBS (10)</v>
          </cell>
          <cell r="C2">
            <v>40</v>
          </cell>
          <cell r="E2">
            <v>10</v>
          </cell>
          <cell r="F2">
            <v>50</v>
          </cell>
        </row>
        <row r="3">
          <cell r="A3" t="str">
            <v>PT-102-003</v>
          </cell>
          <cell r="B3" t="str">
            <v>ARROZ MANHATTAN BLANCO 4 LBS (10)</v>
          </cell>
          <cell r="C3">
            <v>40</v>
          </cell>
          <cell r="E3">
            <v>10</v>
          </cell>
          <cell r="F3">
            <v>50</v>
          </cell>
        </row>
        <row r="4">
          <cell r="A4" t="str">
            <v>PT-103-001</v>
          </cell>
          <cell r="B4" t="str">
            <v>ARROZ MR. DIECK ESCALDADO 1.75 KGS (10)</v>
          </cell>
          <cell r="C4">
            <v>38.5</v>
          </cell>
          <cell r="E4">
            <v>10</v>
          </cell>
          <cell r="F4">
            <v>51</v>
          </cell>
        </row>
        <row r="5">
          <cell r="A5" t="str">
            <v>PT-103-003</v>
          </cell>
          <cell r="B5" t="str">
            <v>ARROZ MR. DIECK BLANCO 1.75 KGS (10)</v>
          </cell>
          <cell r="C5">
            <v>38.5</v>
          </cell>
          <cell r="E5">
            <v>10</v>
          </cell>
          <cell r="F5">
            <v>51</v>
          </cell>
        </row>
        <row r="6">
          <cell r="A6" t="str">
            <v>PT-104-001</v>
          </cell>
          <cell r="B6" t="str">
            <v>ARROZ MR. DIECK ESCALDADO 1.5 KGS (10)</v>
          </cell>
          <cell r="C6">
            <v>33</v>
          </cell>
          <cell r="E6">
            <v>10</v>
          </cell>
          <cell r="F6">
            <v>56</v>
          </cell>
        </row>
        <row r="7">
          <cell r="A7" t="str">
            <v>PT-104-003</v>
          </cell>
          <cell r="B7" t="str">
            <v>ARROZ MR. DIECK BLANCO 1.5 KGS (10)</v>
          </cell>
          <cell r="C7">
            <v>33</v>
          </cell>
          <cell r="E7">
            <v>10</v>
          </cell>
          <cell r="F7">
            <v>56</v>
          </cell>
        </row>
        <row r="8">
          <cell r="A8" t="str">
            <v>PT-104-010</v>
          </cell>
          <cell r="B8" t="str">
            <v>ARROZ MANHATTAN ORO 1.5 KGS (10)</v>
          </cell>
          <cell r="C8">
            <v>33</v>
          </cell>
          <cell r="E8">
            <v>10</v>
          </cell>
          <cell r="F8">
            <v>56</v>
          </cell>
        </row>
        <row r="9">
          <cell r="A9" t="str">
            <v>PT-104-011</v>
          </cell>
          <cell r="B9" t="str">
            <v>ARROZ MANHATTAN BLANCO 1.5 KGS (10)</v>
          </cell>
          <cell r="C9">
            <v>33</v>
          </cell>
          <cell r="E9">
            <v>10</v>
          </cell>
          <cell r="F9">
            <v>56</v>
          </cell>
        </row>
        <row r="10">
          <cell r="A10" t="str">
            <v>PT-106-002</v>
          </cell>
          <cell r="B10" t="str">
            <v>ARROZ MANHATTAN ORO 1 LBS (25)</v>
          </cell>
          <cell r="C10">
            <v>25</v>
          </cell>
          <cell r="E10">
            <v>25</v>
          </cell>
          <cell r="F10">
            <v>125</v>
          </cell>
        </row>
        <row r="11">
          <cell r="A11" t="str">
            <v>PT-106-004</v>
          </cell>
          <cell r="B11" t="str">
            <v>ARROZ MANHATTAN BLANCO 1 LBS (20)</v>
          </cell>
          <cell r="C11">
            <v>20</v>
          </cell>
          <cell r="E11">
            <v>20</v>
          </cell>
          <cell r="F11">
            <v>125</v>
          </cell>
        </row>
        <row r="12">
          <cell r="A12" t="str">
            <v>PT-106-007</v>
          </cell>
          <cell r="B12" t="str">
            <v>ARROZ MR. DIECK INTEGRAL 1 LBS (25)</v>
          </cell>
          <cell r="C12">
            <v>25</v>
          </cell>
          <cell r="E12">
            <v>25</v>
          </cell>
          <cell r="F12">
            <v>125</v>
          </cell>
        </row>
        <row r="13">
          <cell r="A13" t="str">
            <v>PT-106-010</v>
          </cell>
          <cell r="B13" t="str">
            <v>ARROZ MANHATTAN BLANCO ECONOMICO 1 LBS (20)</v>
          </cell>
          <cell r="C13">
            <v>20</v>
          </cell>
          <cell r="E13">
            <v>20</v>
          </cell>
          <cell r="F13">
            <v>125</v>
          </cell>
        </row>
        <row r="14">
          <cell r="A14" t="str">
            <v>PT-107-001</v>
          </cell>
          <cell r="B14" t="str">
            <v>ARROZ MR. DIECK ESCALDADO 350 GRS (25)</v>
          </cell>
          <cell r="C14">
            <v>19.2</v>
          </cell>
          <cell r="E14">
            <v>25</v>
          </cell>
          <cell r="F14">
            <v>151</v>
          </cell>
        </row>
        <row r="15">
          <cell r="A15" t="str">
            <v>PT-107-002</v>
          </cell>
          <cell r="B15" t="str">
            <v>ARROZ MR. DIECK BLANCO 350 GRS (25)</v>
          </cell>
          <cell r="C15">
            <v>19.2</v>
          </cell>
          <cell r="E15">
            <v>25</v>
          </cell>
          <cell r="F15">
            <v>151</v>
          </cell>
        </row>
        <row r="16">
          <cell r="A16" t="str">
            <v>PT-107-004</v>
          </cell>
          <cell r="B16" t="str">
            <v>ARROZ BAMBI BLANCO 350 GRS (25)</v>
          </cell>
          <cell r="C16">
            <v>19.2</v>
          </cell>
          <cell r="E16">
            <v>25</v>
          </cell>
          <cell r="F16">
            <v>151</v>
          </cell>
        </row>
        <row r="17">
          <cell r="A17" t="str">
            <v>PT-109-001</v>
          </cell>
          <cell r="B17" t="str">
            <v>ARROZ MR. DIECK ESCALDADO 175 GRS (50)</v>
          </cell>
          <cell r="C17">
            <v>16.5</v>
          </cell>
          <cell r="E17">
            <v>50</v>
          </cell>
          <cell r="F17">
            <v>231</v>
          </cell>
        </row>
        <row r="18">
          <cell r="A18" t="str">
            <v>PT-109-002</v>
          </cell>
          <cell r="B18" t="str">
            <v>ARROZ MR. DIECK BLANCO 175 GRS (50)</v>
          </cell>
          <cell r="C18">
            <v>16.5</v>
          </cell>
          <cell r="E18">
            <v>50</v>
          </cell>
          <cell r="F18">
            <v>231</v>
          </cell>
        </row>
      </sheetData>
      <sheetData sheetId="2">
        <row r="12">
          <cell r="M12">
            <v>0</v>
          </cell>
        </row>
      </sheetData>
      <sheetData sheetId="3"/>
      <sheetData sheetId="4">
        <row r="2">
          <cell r="A2" t="str">
            <v>PT-100-002</v>
          </cell>
        </row>
      </sheetData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8A4E1-00BA-4272-92B8-27102878546D}" name="Table1" displayName="Table1" ref="A12:Q29" totalsRowShown="0" headerRowDxfId="27" dataDxfId="26" tableBorderDxfId="25">
  <tableColumns count="17">
    <tableColumn id="1" xr3:uid="{4B8163BD-5AC2-4E79-8358-E38424C0B2FD}" name="ITEM" dataDxfId="24"/>
    <tableColumn id="2" xr3:uid="{875DF3BA-8A05-4459-8C17-5712B2F08490}" name="CODIGO" dataDxfId="23">
      <calculatedColumnFormula>+IF(C13=[1]INFO2!B$1,[1]INFO2!A$1,IF(C13=[1]INFO2!B$2,[1]INFO2!A$2,IF(C13=[1]INFO2!B$3,[1]INFO2!A$3,IF(C13=[1]INFO2!B$4,[1]INFO2!A$4,IF(C13=[1]INFO2!B$5,[1]INFO2!A$5,IF(C13=[1]INFO2!B$6,[1]INFO2!A$6,IF(C13=[1]INFO2!B$7,[1]INFO2!A$7,IF(C13=[1]INFO2!B$8,[1]INFO2!A$8,IF(C13=[1]INFO2!B$9,[1]INFO2!A$9,IF(C13=[1]INFO2!B$10,[1]INFO2!A$10,IF(C13=[1]INFO2!B$11,[1]INFO2!A$11,IF(C13=[1]INFO2!B$12,[1]INFO2!A$12,IF(C13=[1]INFO2!B$13,[1]INFO2!A$13,IF(C13=[1]INFO2!B$14,[1]INFO2!A$14,IF(C13=[1]INFO2!B$15,[1]INFO2!A$15,IF(C13=[1]INFO2!B$16,[1]INFO2!A$16,IF(C13=[1]INFO2!B$17,[1]INFO2!A$17,IF(C13=[1]INFO2!B$18,[1]INFO2!A$18,0))))))))))))))))))</calculatedColumnFormula>
    </tableColumn>
    <tableColumn id="3" xr3:uid="{3201210E-298D-44DA-88C3-9F0BB7A0A26D}" name="DESCRIPCION DEL PRODUCTO" dataDxfId="22"/>
    <tableColumn id="7" xr3:uid="{4A86E5AB-4CEF-42DB-9B07-2087E95F18DF}" name="PESO (LBS)" dataDxfId="21">
      <calculatedColumnFormula>+IF(C13=[1]INFO2!B$1,[1]INFO2!C$1,IF(C13=[1]INFO2!B$2,[1]INFO2!C$2,IF(C13=[1]INFO2!B$3,[1]INFO2!C$3,IF(C13=[1]INFO2!B$4,[1]INFO2!C$4,IF(C13=[1]INFO2!B$5,[1]INFO2!C$5,IF(C13=[1]INFO2!B$6,[1]INFO2!C$6,IF(C13=[1]INFO2!B$7,[1]INFO2!C$7,IF(C13=[1]INFO2!B$8,[1]INFO2!C$8,IF(C13=[1]INFO2!B$9,[1]INFO2!C$9,IF(C13=[1]INFO2!B$10,[1]INFO2!C$10,IF(C13=[1]INFO2!B$11,[1]INFO2!C$11,IF(C13=[1]INFO2!B$12,[1]INFO2!C$12,IF(C13=[1]INFO2!B$13,[1]INFO2!C$13,IF(C13=[1]INFO2!B$14,[1]INFO2!C$14,IF(C13=[1]INFO2!B$15,[1]INFO2!C$15,IF(C13=[1]INFO2!B$16,[1]INFO2!C$16,IF(C13=[1]INFO2!B$17,[1]INFO2!C$17,IF(C13=[1]INFO2!B$18,[1]INFO2!C$18,0))))))))))))))))))</calculatedColumnFormula>
    </tableColumn>
    <tableColumn id="8" xr3:uid="{4230A64A-1A74-495B-971B-4221D77FF0A4}" name="UNIDAD DE MEDIDA" dataDxfId="20"/>
    <tableColumn id="9" xr3:uid="{9DC281AA-1A4D-4272-96B6-6540713A3D13}" name="ENTERO MIN" dataDxfId="19"/>
    <tableColumn id="4" xr3:uid="{55C044ED-B5C2-429C-9B0C-088082F032A1}" name="MIGON MAX" dataDxfId="18"/>
    <tableColumn id="10" xr3:uid="{EA0A8387-0935-4E94-9842-7A5D3523BF28}" name="PULIDO MIIN" dataDxfId="17"/>
    <tableColumn id="11" xr3:uid="{83B91BF3-EF8C-4AC8-8E8F-4894D0677363}" name="LINEA" dataDxfId="16"/>
    <tableColumn id="12" xr3:uid="{CB22270D-9BDD-435B-87E0-0ABB190BE03A}" name="CLIENTE" dataDxfId="15"/>
    <tableColumn id="13" xr3:uid="{C25319B7-05B2-4ABC-9C78-20678971F6A7}" name="CANTIDAD" dataDxfId="14"/>
    <tableColumn id="14" xr3:uid="{B3FCB157-9C58-49A6-9AA6-3ABDF987A327}" name="QQ" dataDxfId="13">
      <calculatedColumnFormula>+D13*K13/100</calculatedColumnFormula>
    </tableColumn>
    <tableColumn id="15" xr3:uid="{3E0D9F0C-9004-4040-AFB1-1766CD2E11C6}" name="HORAS" dataDxfId="12">
      <calculatedColumnFormula>IF(C13=[1]INFO2!$B$2,K13*[1]INFO2!$E$2/$K$9/$K$10,IF(C13=[1]INFO2!$B$3,K13*[1]INFO2!$E$3/$K$9/$K$10,IF(C13=[1]INFO2!$B$4,K13*[1]INFO2!$E$4/$K$9/$K$10,IF(C13=[1]INFO2!$B$5,K13*[1]INFO2!$E$5/$K$9/$K$10,IF(C13=[1]INFO2!$B$6,K13*[1]INFO2!$E$6/$K$9/$K$10,IF(C13=[1]INFO2!$B$7,K13*[1]INFO2!$E$7/$K$9/$K$10,IF(C13=[1]INFO2!$B$8,K13*[1]INFO2!$E$8/$K$9/$K$10,IF(C13=[1]INFO2!$B$9,K13*[1]INFO2!$E$9/$K$9/$K$10,IF(C13=[1]INFO2!$B$10,K13*[1]INFO2!$E$10/$K$9/$K$10,IF(C13=[1]INFO2!$B$11,K13*[1]INFO2!$E$11/$K$9/$K$10,IF(C13=[1]INFO2!$B$12,K13*[1]INFO2!$E$12/$K$9/$K$10,IF(C13=[1]INFO2!$B$13,K13*[1]INFO2!$E$13/$K$9/$K$10,IF(C13=[1]INFO2!$B$14,K13*[1]INFO2!$E$14/$K$9/$K$10,IF(C13=[1]INFO2!$B$15,K13*[1]INFO2!$E$15/$K$9/$K$10,IF(C13=[1]INFO2!$B$16,K13*[1]INFO2!$E$16/$K$9/$K$10,IF(C13=[1]INFO2!$B$17,K13*[1]INFO2!$E$17/$K$9/$K$10,IF(C13=[1]INFO2!$B$18,K13*[1]INFO2!$E$18/$K$9/$K$10,0)))))))))))))))))</calculatedColumnFormula>
    </tableColumn>
    <tableColumn id="5" xr3:uid="{EDAA4904-B5EE-473C-82CA-5557390A515C}" name="HORAS DE TRABAJO" dataDxfId="0"/>
    <tableColumn id="16" xr3:uid="{83EBACDD-C828-42BD-AACA-79175F89C19C}" name="TARIMAS" dataDxfId="11"/>
    <tableColumn id="17" xr3:uid="{3CC4E776-1339-43D7-B248-89993B2783D2}" name="BOBINAS LBS" dataDxfId="10">
      <calculatedColumnFormula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calculatedColumnFormula>
    </tableColumn>
    <tableColumn id="18" xr3:uid="{96B350E0-26BF-4F8F-A6A3-98F3E4E70444}" name="OBSERVACIONES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62B73-02F9-4E78-931E-2CD45F894B84}" name="Table2" displayName="Table2" ref="A1:I18" totalsRowShown="0" headerRowDxfId="8" tableBorderDxfId="7">
  <autoFilter ref="A1:I18" xr:uid="{00000000-0009-0000-0100-000002000000}"/>
  <tableColumns count="9">
    <tableColumn id="1" xr3:uid="{4CFBEDBB-0F66-401D-8654-DE0ABB7A1467}" name="CODIGO" dataDxfId="6"/>
    <tableColumn id="2" xr3:uid="{114A7467-569E-4B3E-A193-9A04E734194F}" name="DESCRIPCION DEL PRODUCTO" dataDxfId="5"/>
    <tableColumn id="3" xr3:uid="{B41A6A7A-961E-4DBE-9F54-D8B0A4C33D50}" name="PESO" dataDxfId="4"/>
    <tableColumn id="4" xr3:uid="{6C852766-3111-4BE1-BDE4-F98DE099DFEC}" name="FARDOS X HORA" dataDxfId="3"/>
    <tableColumn id="5" xr3:uid="{6BB2FBA1-5040-4268-961D-EE245D5125EB}" name="Unidades x Fardo" dataDxfId="2"/>
    <tableColumn id="6" xr3:uid="{5B30F82D-6D6C-4780-84E5-E8F4564C35AD}" name="Rendimiento" dataDxfId="1"/>
    <tableColumn id="7" xr3:uid="{0F3EAACA-D3FB-49AB-B310-6FC569586F10}" name="UNIDAD DE MEDIDA"/>
    <tableColumn id="8" xr3:uid="{6404C5EC-0242-4E5D-AB12-B93AA9E175C6}" name="SILO"/>
    <tableColumn id="9" xr3:uid="{6102B306-CF8B-4B8F-8C7C-EC815AB8B303}" name="TURN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FC90-175C-47CE-90CA-72170322DC1C}">
  <sheetPr>
    <pageSetUpPr fitToPage="1"/>
  </sheetPr>
  <dimension ref="A1:R46"/>
  <sheetViews>
    <sheetView showGridLines="0" tabSelected="1" zoomScale="90" zoomScaleNormal="90" zoomScalePageLayoutView="130" workbookViewId="0">
      <selection activeCell="Q43" sqref="A1:Q43"/>
    </sheetView>
  </sheetViews>
  <sheetFormatPr baseColWidth="10" defaultColWidth="10.88671875" defaultRowHeight="21" customHeight="1" x14ac:dyDescent="0.25"/>
  <cols>
    <col min="1" max="1" width="7" style="42" customWidth="1"/>
    <col min="2" max="2" width="12" style="42" customWidth="1"/>
    <col min="3" max="3" width="50" style="42" bestFit="1" customWidth="1"/>
    <col min="4" max="4" width="14.44140625" style="42" customWidth="1"/>
    <col min="5" max="5" width="23.88671875" style="42" bestFit="1" customWidth="1"/>
    <col min="6" max="7" width="10.88671875" style="42" customWidth="1"/>
    <col min="8" max="8" width="10.109375" style="42" customWidth="1"/>
    <col min="9" max="9" width="6.88671875" style="42" bestFit="1" customWidth="1"/>
    <col min="10" max="10" width="18" style="42" bestFit="1" customWidth="1"/>
    <col min="11" max="11" width="11.33203125" style="42" bestFit="1" customWidth="1"/>
    <col min="12" max="12" width="11.6640625" style="42" bestFit="1" customWidth="1"/>
    <col min="13" max="14" width="13" style="42" customWidth="1"/>
    <col min="15" max="16" width="11.88671875" style="38" customWidth="1"/>
    <col min="17" max="17" width="23.109375" style="38" customWidth="1"/>
    <col min="18" max="16384" width="10.88671875" style="38"/>
  </cols>
  <sheetData>
    <row r="1" spans="1:18" ht="21" customHeight="1" x14ac:dyDescent="0.35">
      <c r="A1" s="140" t="s">
        <v>107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20"/>
    </row>
    <row r="2" spans="1:18" ht="21" customHeight="1" x14ac:dyDescent="0.35">
      <c r="A2" s="140" t="s">
        <v>121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20"/>
    </row>
    <row r="3" spans="1:18" ht="21" customHeight="1" x14ac:dyDescent="0.35">
      <c r="A3" s="119" t="s">
        <v>122</v>
      </c>
      <c r="B3" s="119"/>
      <c r="C3" s="11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1:18" ht="21" customHeight="1" x14ac:dyDescent="0.25">
      <c r="A4" s="119" t="s">
        <v>125</v>
      </c>
      <c r="B4" s="119"/>
      <c r="C4" s="119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8" ht="21" customHeight="1" x14ac:dyDescent="0.25">
      <c r="A5" s="119" t="s">
        <v>123</v>
      </c>
      <c r="B5" s="119"/>
      <c r="C5" s="119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8" ht="21" customHeight="1" x14ac:dyDescent="0.25">
      <c r="A6" s="119"/>
      <c r="B6" s="119"/>
      <c r="C6" s="119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8" ht="21" customHeight="1" x14ac:dyDescent="0.3">
      <c r="A7" s="124" t="s">
        <v>0</v>
      </c>
      <c r="B7" s="124"/>
      <c r="C7" s="135">
        <v>44494</v>
      </c>
      <c r="D7" s="135"/>
      <c r="E7" s="41"/>
      <c r="F7" s="136"/>
      <c r="G7" s="136"/>
      <c r="H7" s="136"/>
      <c r="I7" s="136"/>
      <c r="J7" s="137"/>
      <c r="K7" s="138"/>
      <c r="L7" s="43"/>
      <c r="M7" s="139"/>
      <c r="N7" s="139"/>
      <c r="O7" s="138"/>
      <c r="P7" s="42"/>
    </row>
    <row r="8" spans="1:18" ht="21" customHeight="1" x14ac:dyDescent="0.25">
      <c r="A8" s="124" t="s">
        <v>8</v>
      </c>
      <c r="B8" s="124"/>
      <c r="C8" s="125">
        <v>47</v>
      </c>
      <c r="D8" s="125"/>
      <c r="E8" s="41"/>
      <c r="F8" s="38"/>
      <c r="G8" s="38"/>
      <c r="H8" s="38"/>
      <c r="I8" s="38"/>
      <c r="J8" s="38"/>
      <c r="K8" s="38"/>
      <c r="L8" s="38"/>
      <c r="M8" s="38"/>
      <c r="N8" s="38"/>
    </row>
    <row r="9" spans="1:18" ht="21" customHeight="1" x14ac:dyDescent="0.25">
      <c r="A9" s="124"/>
      <c r="B9" s="124"/>
      <c r="C9" s="44"/>
      <c r="D9" s="41"/>
      <c r="E9" s="41"/>
      <c r="F9" s="41"/>
      <c r="G9" s="41"/>
      <c r="H9" s="45"/>
      <c r="J9" s="46" t="s">
        <v>96</v>
      </c>
      <c r="K9" s="47">
        <v>33</v>
      </c>
      <c r="L9" s="41" t="s">
        <v>22</v>
      </c>
      <c r="M9" s="46">
        <v>100</v>
      </c>
      <c r="N9" s="46"/>
      <c r="O9" s="46" t="s">
        <v>94</v>
      </c>
      <c r="P9" s="46"/>
    </row>
    <row r="10" spans="1:18" ht="21" customHeight="1" thickBot="1" x14ac:dyDescent="0.3">
      <c r="A10" s="40"/>
      <c r="B10" s="40"/>
      <c r="C10" s="40"/>
      <c r="D10" s="41"/>
      <c r="E10" s="41"/>
      <c r="F10" s="41"/>
      <c r="G10" s="41"/>
      <c r="H10" s="41"/>
      <c r="I10" s="45"/>
      <c r="J10" s="46" t="s">
        <v>98</v>
      </c>
      <c r="K10" s="46">
        <v>60</v>
      </c>
      <c r="L10" s="41" t="s">
        <v>93</v>
      </c>
      <c r="M10" s="46">
        <v>40</v>
      </c>
      <c r="N10" s="46"/>
      <c r="O10" s="46" t="s">
        <v>23</v>
      </c>
      <c r="P10" s="46"/>
    </row>
    <row r="11" spans="1:18" ht="21" customHeight="1" thickBot="1" x14ac:dyDescent="0.3">
      <c r="A11" s="48"/>
      <c r="B11" s="49"/>
      <c r="C11" s="49"/>
      <c r="D11" s="126" t="s">
        <v>4</v>
      </c>
      <c r="E11" s="127"/>
      <c r="F11" s="127"/>
      <c r="G11" s="127"/>
      <c r="H11" s="128"/>
      <c r="I11" s="129" t="s">
        <v>15</v>
      </c>
      <c r="J11" s="130"/>
      <c r="K11" s="130"/>
      <c r="L11" s="131" t="s">
        <v>16</v>
      </c>
      <c r="M11" s="132"/>
      <c r="N11" s="132"/>
      <c r="O11" s="132"/>
      <c r="P11" s="133"/>
      <c r="Q11" s="134"/>
    </row>
    <row r="12" spans="1:18" ht="30" customHeight="1" thickBot="1" x14ac:dyDescent="0.3">
      <c r="A12" s="50" t="s">
        <v>1</v>
      </c>
      <c r="B12" s="51" t="s">
        <v>9</v>
      </c>
      <c r="C12" s="52" t="s">
        <v>6</v>
      </c>
      <c r="D12" s="53" t="s">
        <v>21</v>
      </c>
      <c r="E12" s="54" t="s">
        <v>10</v>
      </c>
      <c r="F12" s="54" t="s">
        <v>126</v>
      </c>
      <c r="G12" s="55" t="s">
        <v>127</v>
      </c>
      <c r="H12" s="56" t="s">
        <v>128</v>
      </c>
      <c r="I12" s="57" t="s">
        <v>106</v>
      </c>
      <c r="J12" s="58" t="s">
        <v>2</v>
      </c>
      <c r="K12" s="59" t="s">
        <v>3</v>
      </c>
      <c r="L12" s="60" t="s">
        <v>14</v>
      </c>
      <c r="M12" s="61" t="s">
        <v>13</v>
      </c>
      <c r="N12" s="141" t="s">
        <v>124</v>
      </c>
      <c r="O12" s="60" t="s">
        <v>12</v>
      </c>
      <c r="P12" s="60" t="s">
        <v>108</v>
      </c>
      <c r="Q12" s="62" t="s">
        <v>99</v>
      </c>
    </row>
    <row r="13" spans="1:18" ht="21" customHeight="1" thickBot="1" x14ac:dyDescent="0.3">
      <c r="A13" s="63">
        <v>1</v>
      </c>
      <c r="B13" s="64" t="str">
        <f>+IF(C13=[1]INFO2!B$1,[1]INFO2!A$1,IF(C13=[1]INFO2!B$2,[1]INFO2!A$2,IF(C13=[1]INFO2!B$3,[1]INFO2!A$3,IF(C13=[1]INFO2!B$4,[1]INFO2!A$4,IF(C13=[1]INFO2!B$5,[1]INFO2!A$5,IF(C13=[1]INFO2!B$6,[1]INFO2!A$6,IF(C13=[1]INFO2!B$7,[1]INFO2!A$7,IF(C13=[1]INFO2!B$8,[1]INFO2!A$8,IF(C13=[1]INFO2!B$9,[1]INFO2!A$9,IF(C13=[1]INFO2!B$10,[1]INFO2!A$10,IF(C13=[1]INFO2!B$11,[1]INFO2!A$11,IF(C13=[1]INFO2!B$12,[1]INFO2!A$12,IF(C13=[1]INFO2!B$13,[1]INFO2!A$13,IF(C13=[1]INFO2!B$14,[1]INFO2!A$14,IF(C13=[1]INFO2!B$15,[1]INFO2!A$15,IF(C13=[1]INFO2!B$16,[1]INFO2!A$16,IF(C13=[1]INFO2!B$17,[1]INFO2!A$17,IF(C13=[1]INFO2!B$18,[1]INFO2!A$18,0))))))))))))))))))</f>
        <v>PT-102-003</v>
      </c>
      <c r="C13" s="65" t="s">
        <v>31</v>
      </c>
      <c r="D13" s="64">
        <f>+IF(C13=[1]INFO2!B$1,[1]INFO2!C$1,IF(C13=[1]INFO2!B$2,[1]INFO2!C$2,IF(C13=[1]INFO2!B$3,[1]INFO2!C$3,IF(C13=[1]INFO2!B$4,[1]INFO2!C$4,IF(C13=[1]INFO2!B$5,[1]INFO2!C$5,IF(C13=[1]INFO2!B$6,[1]INFO2!C$6,IF(C13=[1]INFO2!B$7,[1]INFO2!C$7,IF(C13=[1]INFO2!B$8,[1]INFO2!C$8,IF(C13=[1]INFO2!B$9,[1]INFO2!C$9,IF(C13=[1]INFO2!B$10,[1]INFO2!C$10,IF(C13=[1]INFO2!B$11,[1]INFO2!C$11,IF(C13=[1]INFO2!B$12,[1]INFO2!C$12,IF(C13=[1]INFO2!B$13,[1]INFO2!C$13,IF(C13=[1]INFO2!B$14,[1]INFO2!C$14,IF(C13=[1]INFO2!B$15,[1]INFO2!C$15,IF(C13=[1]INFO2!B$16,[1]INFO2!C$16,IF(C13=[1]INFO2!B$17,[1]INFO2!C$17,IF(C13=[1]INFO2!B$18,[1]INFO2!C$18,0))))))))))))))))))</f>
        <v>40</v>
      </c>
      <c r="E13" s="66" t="s">
        <v>68</v>
      </c>
      <c r="F13" s="67">
        <v>96</v>
      </c>
      <c r="G13" s="68">
        <v>0</v>
      </c>
      <c r="H13" s="69">
        <v>43</v>
      </c>
      <c r="I13" s="66">
        <v>1</v>
      </c>
      <c r="J13" s="67" t="s">
        <v>109</v>
      </c>
      <c r="K13" s="70">
        <v>600</v>
      </c>
      <c r="L13" s="71">
        <f>+D13*K13/100</f>
        <v>240</v>
      </c>
      <c r="M13" s="72">
        <f>IF(C13=[1]INFO2!$B$2,K13*[1]INFO2!$E$2/$K$9/$K$10,IF(C13=[1]INFO2!$B$3,K13*[1]INFO2!$E$3/$K$9/$K$10,IF(C13=[1]INFO2!$B$4,K13*[1]INFO2!$E$4/$K$9/$K$10,IF(C13=[1]INFO2!$B$5,K13*[1]INFO2!$E$5/$K$9/$K$10,IF(C13=[1]INFO2!$B$6,K13*[1]INFO2!$E$6/$K$9/$K$10,IF(C13=[1]INFO2!$B$7,K13*[1]INFO2!$E$7/$K$9/$K$10,IF(C13=[1]INFO2!$B$8,K13*[1]INFO2!$E$8/$K$9/$K$10,IF(C13=[1]INFO2!$B$9,K13*[1]INFO2!$E$9/$K$9/$K$10,IF(C13=[1]INFO2!$B$10,K13*[1]INFO2!$E$10/$K$9/$K$10,IF(C13=[1]INFO2!$B$11,K13*[1]INFO2!$E$11/$K$9/$K$10,IF(C13=[1]INFO2!$B$12,K13*[1]INFO2!$E$12/$K$9/$K$10,IF(C13=[1]INFO2!$B$13,K13*[1]INFO2!$E$13/$K$9/$K$10,IF(C13=[1]INFO2!$B$14,K13*[1]INFO2!$E$14/$K$9/$K$10,IF(C13=[1]INFO2!$B$15,K13*[1]INFO2!$E$15/$K$9/$K$10,IF(C13=[1]INFO2!$B$16,K13*[1]INFO2!$E$16/$K$9/$K$10,IF(C13=[1]INFO2!$B$17,K13*[1]INFO2!$E$17/$K$9/$K$10,IF(C13=[1]INFO2!$B$18,K13*[1]INFO2!$E$18/$K$9/$K$10,0)))))))))))))))))</f>
        <v>3.0303030303030303</v>
      </c>
      <c r="N13" s="72"/>
      <c r="O13" s="73">
        <v>7.5</v>
      </c>
      <c r="P13" s="64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120</v>
      </c>
      <c r="Q13" s="74"/>
    </row>
    <row r="14" spans="1:18" ht="21" customHeight="1" x14ac:dyDescent="0.25">
      <c r="A14" s="75">
        <f>1+A13</f>
        <v>2</v>
      </c>
      <c r="B14" s="76" t="str">
        <f>+IF(C14=[1]INFO2!B$1,[1]INFO2!A$1,IF(C14=[1]INFO2!B$2,[1]INFO2!A$2,IF(C14=[1]INFO2!B$3,[1]INFO2!A$3,IF(C14=[1]INFO2!B$4,[1]INFO2!A$4,IF(C14=[1]INFO2!B$5,[1]INFO2!A$5,IF(C14=[1]INFO2!B$6,[1]INFO2!A$6,IF(C14=[1]INFO2!B$7,[1]INFO2!A$7,IF(C14=[1]INFO2!B$8,[1]INFO2!A$8,IF(C14=[1]INFO2!B$9,[1]INFO2!A$9,IF(C14=[1]INFO2!B$10,[1]INFO2!A$10,IF(C14=[1]INFO2!B$11,[1]INFO2!A$11,IF(C14=[1]INFO2!B$12,[1]INFO2!A$12,IF(C14=[1]INFO2!B$13,[1]INFO2!A$13,IF(C14=[1]INFO2!B$14,[1]INFO2!A$14,IF(C14=[1]INFO2!B$15,[1]INFO2!A$15,IF(C14=[1]INFO2!B$16,[1]INFO2!A$16,IF(C14=[1]INFO2!B$17,[1]INFO2!A$17,IF(C14=[1]INFO2!B$18,[1]INFO2!A$18,0))))))))))))))))))</f>
        <v>PT-104-011</v>
      </c>
      <c r="C14" s="77" t="s">
        <v>110</v>
      </c>
      <c r="D14" s="76">
        <f>+IF(C14=[1]INFO2!B$1,[1]INFO2!C$1,IF(C14=[1]INFO2!B$2,[1]INFO2!C$2,IF(C14=[1]INFO2!B$3,[1]INFO2!C$3,IF(C14=[1]INFO2!B$4,[1]INFO2!C$4,IF(C14=[1]INFO2!B$5,[1]INFO2!C$5,IF(C14=[1]INFO2!B$6,[1]INFO2!C$6,IF(C14=[1]INFO2!B$7,[1]INFO2!C$7,IF(C14=[1]INFO2!B$8,[1]INFO2!C$8,IF(C14=[1]INFO2!B$9,[1]INFO2!C$9,IF(C14=[1]INFO2!B$10,[1]INFO2!C$10,IF(C14=[1]INFO2!B$11,[1]INFO2!C$11,IF(C14=[1]INFO2!B$12,[1]INFO2!C$12,IF(C14=[1]INFO2!B$13,[1]INFO2!C$13,IF(C14=[1]INFO2!B$14,[1]INFO2!C$14,IF(C14=[1]INFO2!B$15,[1]INFO2!C$15,IF(C14=[1]INFO2!B$16,[1]INFO2!C$16,IF(C14=[1]INFO2!B$17,[1]INFO2!C$17,IF(C14=[1]INFO2!B$18,[1]INFO2!C$18,0))))))))))))))))))</f>
        <v>33</v>
      </c>
      <c r="E14" s="78" t="s">
        <v>68</v>
      </c>
      <c r="F14" s="79">
        <v>96</v>
      </c>
      <c r="G14" s="80">
        <v>0</v>
      </c>
      <c r="H14" s="81">
        <v>43</v>
      </c>
      <c r="I14" s="78">
        <v>1</v>
      </c>
      <c r="J14" s="79" t="s">
        <v>109</v>
      </c>
      <c r="K14" s="82">
        <v>1000</v>
      </c>
      <c r="L14" s="83">
        <f>+D14*K14/100</f>
        <v>330</v>
      </c>
      <c r="M14" s="84">
        <f>IF(C14=[1]INFO2!$B$2,K14*[1]INFO2!$E$2/$K$9/$K$10,IF(C14=[1]INFO2!$B$3,K14*[1]INFO2!$E$3/$K$9/$K$10,IF(C14=[1]INFO2!$B$4,K14*[1]INFO2!$E$4/$K$9/$K$10,IF(C14=[1]INFO2!$B$5,K14*[1]INFO2!$E$5/$K$9/$K$10,IF(C14=[1]INFO2!$B$6,K14*[1]INFO2!$E$6/$K$9/$K$10,IF(C14=[1]INFO2!$B$7,K14*[1]INFO2!$E$7/$K$9/$K$10,IF(C14=[1]INFO2!$B$8,K14*[1]INFO2!$E$8/$K$9/$K$10,IF(C14=[1]INFO2!$B$9,K14*[1]INFO2!$E$9/$K$9/$K$10,IF(C14=[1]INFO2!$B$10,K14*[1]INFO2!$E$10/$K$9/$K$10,IF(C14=[1]INFO2!$B$11,K14*[1]INFO2!$E$11/$K$9/$K$10,IF(C14=[1]INFO2!$B$12,K14*[1]INFO2!$E$12/$K$9/$K$10,IF(C14=[1]INFO2!$B$13,K14*[1]INFO2!$E$13/$K$9/$K$10,IF(C14=[1]INFO2!$B$14,K14*[1]INFO2!$E$14/$K$9/$K$10,IF(C14=[1]INFO2!$B$15,K14*[1]INFO2!$E$15/$K$9/$K$10,IF(C14=[1]INFO2!$B$16,K14*[1]INFO2!$E$16/$K$9/$K$10,IF(C14=[1]INFO2!$B$17,K14*[1]INFO2!$E$17/$K$9/$K$10,IF(C14=[1]INFO2!$B$18,K14*[1]INFO2!$E$18/$K$9/$K$10,0)))))))))))))))))</f>
        <v>5.0505050505050502</v>
      </c>
      <c r="N14" s="142"/>
      <c r="O14" s="73">
        <v>10</v>
      </c>
      <c r="P14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179</v>
      </c>
      <c r="Q14" s="85"/>
    </row>
    <row r="15" spans="1:18" ht="21" customHeight="1" x14ac:dyDescent="0.25">
      <c r="A15" s="75">
        <f t="shared" ref="A15:A20" si="0">1+A14</f>
        <v>3</v>
      </c>
      <c r="B15" s="76" t="str">
        <f>+IF(C15=[1]INFO2!B$1,[1]INFO2!A$1,IF(C15=[1]INFO2!B$2,[1]INFO2!A$2,IF(C15=[1]INFO2!B$3,[1]INFO2!A$3,IF(C15=[1]INFO2!B$4,[1]INFO2!A$4,IF(C15=[1]INFO2!B$5,[1]INFO2!A$5,IF(C15=[1]INFO2!B$6,[1]INFO2!A$6,IF(C15=[1]INFO2!B$7,[1]INFO2!A$7,IF(C15=[1]INFO2!B$8,[1]INFO2!A$8,IF(C15=[1]INFO2!B$9,[1]INFO2!A$9,IF(C15=[1]INFO2!B$10,[1]INFO2!A$10,IF(C15=[1]INFO2!B$11,[1]INFO2!A$11,IF(C15=[1]INFO2!B$12,[1]INFO2!A$12,IF(C15=[1]INFO2!B$13,[1]INFO2!A$13,IF(C15=[1]INFO2!B$14,[1]INFO2!A$14,IF(C15=[1]INFO2!B$15,[1]INFO2!A$15,IF(C15=[1]INFO2!B$16,[1]INFO2!A$16,IF(C15=[1]INFO2!B$17,[1]INFO2!A$17,IF(C15=[1]INFO2!B$18,[1]INFO2!A$18,0))))))))))))))))))</f>
        <v>PT-104-003</v>
      </c>
      <c r="C15" s="86" t="s">
        <v>47</v>
      </c>
      <c r="D15" s="76">
        <f>+IF(C15=[1]INFO2!B$1,[1]INFO2!C$1,IF(C15=[1]INFO2!B$2,[1]INFO2!C$2,IF(C15=[1]INFO2!B$3,[1]INFO2!C$3,IF(C15=[1]INFO2!B$4,[1]INFO2!C$4,IF(C15=[1]INFO2!B$5,[1]INFO2!C$5,IF(C15=[1]INFO2!B$6,[1]INFO2!C$6,IF(C15=[1]INFO2!B$7,[1]INFO2!C$7,IF(C15=[1]INFO2!B$8,[1]INFO2!C$8,IF(C15=[1]INFO2!B$9,[1]INFO2!C$9,IF(C15=[1]INFO2!B$10,[1]INFO2!C$10,IF(C15=[1]INFO2!B$11,[1]INFO2!C$11,IF(C15=[1]INFO2!B$12,[1]INFO2!C$12,IF(C15=[1]INFO2!B$13,[1]INFO2!C$13,IF(C15=[1]INFO2!B$14,[1]INFO2!C$14,IF(C15=[1]INFO2!B$15,[1]INFO2!C$15,IF(C15=[1]INFO2!B$16,[1]INFO2!C$16,IF(C15=[1]INFO2!B$17,[1]INFO2!C$17,IF(C15=[1]INFO2!B$18,[1]INFO2!C$18,0))))))))))))))))))</f>
        <v>33</v>
      </c>
      <c r="E15" s="78" t="s">
        <v>68</v>
      </c>
      <c r="F15" s="79">
        <v>96</v>
      </c>
      <c r="G15" s="80">
        <v>0</v>
      </c>
      <c r="H15" s="81">
        <v>43</v>
      </c>
      <c r="I15" s="78">
        <v>1</v>
      </c>
      <c r="J15" s="79" t="s">
        <v>109</v>
      </c>
      <c r="K15" s="82">
        <v>1000</v>
      </c>
      <c r="L15" s="83">
        <f t="shared" ref="L15:L29" si="1">+D15*K15/100</f>
        <v>330</v>
      </c>
      <c r="M15" s="84">
        <f>IF(C15=[1]INFO2!$B$2,K15*[1]INFO2!$E$2/$K$9/$K$10,IF(C15=[1]INFO2!$B$3,K15*[1]INFO2!$E$3/$K$9/$K$10,IF(C15=[1]INFO2!$B$4,K15*[1]INFO2!$E$4/$K$9/$K$10,IF(C15=[1]INFO2!$B$5,K15*[1]INFO2!$E$5/$K$9/$K$10,IF(C15=[1]INFO2!$B$6,K15*[1]INFO2!$E$6/$K$9/$K$10,IF(C15=[1]INFO2!$B$7,K15*[1]INFO2!$E$7/$K$9/$K$10,IF(C15=[1]INFO2!$B$8,K15*[1]INFO2!$E$8/$K$9/$K$10,IF(C15=[1]INFO2!$B$9,K15*[1]INFO2!$E$9/$K$9/$K$10,IF(C15=[1]INFO2!$B$10,K15*[1]INFO2!$E$10/$K$9/$K$10,IF(C15=[1]INFO2!$B$11,K15*[1]INFO2!$E$11/$K$9/$K$10,IF(C15=[1]INFO2!$B$12,K15*[1]INFO2!$E$12/$K$9/$K$10,IF(C15=[1]INFO2!$B$13,K15*[1]INFO2!$E$13/$K$9/$K$10,IF(C15=[1]INFO2!$B$14,K15*[1]INFO2!$E$14/$K$9/$K$10,IF(C15=[1]INFO2!$B$15,K15*[1]INFO2!$E$15/$K$9/$K$10,IF(C15=[1]INFO2!$B$16,K15*[1]INFO2!$E$16/$K$9/$K$10,IF(C15=[1]INFO2!$B$17,K15*[1]INFO2!$E$17/$K$9/$K$10,IF(C15=[1]INFO2!$B$18,K15*[1]INFO2!$E$18/$K$9/$K$10,0)))))))))))))))))</f>
        <v>5.0505050505050502</v>
      </c>
      <c r="N15" s="84"/>
      <c r="O15" s="75">
        <v>10</v>
      </c>
      <c r="P15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179</v>
      </c>
      <c r="Q15" s="85" t="s">
        <v>111</v>
      </c>
    </row>
    <row r="16" spans="1:18" ht="21" customHeight="1" x14ac:dyDescent="0.25">
      <c r="A16" s="75">
        <f t="shared" si="0"/>
        <v>4</v>
      </c>
      <c r="B16" s="76" t="str">
        <f>+IF(C16=[1]INFO2!B$1,[1]INFO2!A$1,IF(C16=[1]INFO2!B$2,[1]INFO2!A$2,IF(C16=[1]INFO2!B$3,[1]INFO2!A$3,IF(C16=[1]INFO2!B$4,[1]INFO2!A$4,IF(C16=[1]INFO2!B$5,[1]INFO2!A$5,IF(C16=[1]INFO2!B$6,[1]INFO2!A$6,IF(C16=[1]INFO2!B$7,[1]INFO2!A$7,IF(C16=[1]INFO2!B$8,[1]INFO2!A$8,IF(C16=[1]INFO2!B$9,[1]INFO2!A$9,IF(C16=[1]INFO2!B$10,[1]INFO2!A$10,IF(C16=[1]INFO2!B$11,[1]INFO2!A$11,IF(C16=[1]INFO2!B$12,[1]INFO2!A$12,IF(C16=[1]INFO2!B$13,[1]INFO2!A$13,IF(C16=[1]INFO2!B$14,[1]INFO2!A$14,IF(C16=[1]INFO2!B$15,[1]INFO2!A$15,IF(C16=[1]INFO2!B$16,[1]INFO2!A$16,IF(C16=[1]INFO2!B$17,[1]INFO2!A$17,IF(C16=[1]INFO2!B$18,[1]INFO2!A$18,0))))))))))))))))))</f>
        <v>PT-103-003</v>
      </c>
      <c r="C16" s="86" t="s">
        <v>39</v>
      </c>
      <c r="D16" s="76">
        <f>+IF(C16=[1]INFO2!B$1,[1]INFO2!C$1,IF(C16=[1]INFO2!B$2,[1]INFO2!C$2,IF(C16=[1]INFO2!B$3,[1]INFO2!C$3,IF(C16=[1]INFO2!B$4,[1]INFO2!C$4,IF(C16=[1]INFO2!B$5,[1]INFO2!C$5,IF(C16=[1]INFO2!B$6,[1]INFO2!C$6,IF(C16=[1]INFO2!B$7,[1]INFO2!C$7,IF(C16=[1]INFO2!B$8,[1]INFO2!C$8,IF(C16=[1]INFO2!B$9,[1]INFO2!C$9,IF(C16=[1]INFO2!B$10,[1]INFO2!C$10,IF(C16=[1]INFO2!B$11,[1]INFO2!C$11,IF(C16=[1]INFO2!B$12,[1]INFO2!C$12,IF(C16=[1]INFO2!B$13,[1]INFO2!C$13,IF(C16=[1]INFO2!B$14,[1]INFO2!C$14,IF(C16=[1]INFO2!B$15,[1]INFO2!C$15,IF(C16=[1]INFO2!B$16,[1]INFO2!C$16,IF(C16=[1]INFO2!B$17,[1]INFO2!C$17,IF(C16=[1]INFO2!B$18,[1]INFO2!C$18,0))))))))))))))))))</f>
        <v>38.5</v>
      </c>
      <c r="E16" s="78" t="s">
        <v>68</v>
      </c>
      <c r="F16" s="79">
        <v>96</v>
      </c>
      <c r="G16" s="80">
        <v>0</v>
      </c>
      <c r="H16" s="81">
        <v>43</v>
      </c>
      <c r="I16" s="78">
        <v>1</v>
      </c>
      <c r="J16" s="79" t="s">
        <v>109</v>
      </c>
      <c r="K16" s="82">
        <v>3000</v>
      </c>
      <c r="L16" s="83">
        <f t="shared" si="1"/>
        <v>1155</v>
      </c>
      <c r="M16" s="84">
        <f>IF(C16=[1]INFO2!$B$2,K16*[1]INFO2!$E$2/$K$9/$K$10,IF(C16=[1]INFO2!$B$3,K16*[1]INFO2!$E$3/$K$9/$K$10,IF(C16=[1]INFO2!$B$4,K16*[1]INFO2!$E$4/$K$9/$K$10,IF(C16=[1]INFO2!$B$5,K16*[1]INFO2!$E$5/$K$9/$K$10,IF(C16=[1]INFO2!$B$6,K16*[1]INFO2!$E$6/$K$9/$K$10,IF(C16=[1]INFO2!$B$7,K16*[1]INFO2!$E$7/$K$9/$K$10,IF(C16=[1]INFO2!$B$8,K16*[1]INFO2!$E$8/$K$9/$K$10,IF(C16=[1]INFO2!$B$9,K16*[1]INFO2!$E$9/$K$9/$K$10,IF(C16=[1]INFO2!$B$10,K16*[1]INFO2!$E$10/$K$9/$K$10,IF(C16=[1]INFO2!$B$11,K16*[1]INFO2!$E$11/$K$9/$K$10,IF(C16=[1]INFO2!$B$12,K16*[1]INFO2!$E$12/$K$9/$K$10,IF(C16=[1]INFO2!$B$13,K16*[1]INFO2!$E$13/$K$9/$K$10,IF(C16=[1]INFO2!$B$14,K16*[1]INFO2!$E$14/$K$9/$K$10,IF(C16=[1]INFO2!$B$15,K16*[1]INFO2!$E$15/$K$9/$K$10,IF(C16=[1]INFO2!$B$16,K16*[1]INFO2!$E$16/$K$9/$K$10,IF(C16=[1]INFO2!$B$17,K16*[1]INFO2!$E$17/$K$9/$K$10,IF(C16=[1]INFO2!$B$18,K16*[1]INFO2!$E$18/$K$9/$K$10,0)))))))))))))))))</f>
        <v>15.151515151515152</v>
      </c>
      <c r="N16" s="84"/>
      <c r="O16" s="75">
        <v>37.5</v>
      </c>
      <c r="P16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589</v>
      </c>
      <c r="Q16" s="85"/>
    </row>
    <row r="17" spans="1:17" ht="21" customHeight="1" x14ac:dyDescent="0.25">
      <c r="A17" s="75">
        <f t="shared" si="0"/>
        <v>5</v>
      </c>
      <c r="B17" s="76" t="str">
        <f>+IF(C17=[1]INFO2!B$1,[1]INFO2!A$1,IF(C17=[1]INFO2!B$2,[1]INFO2!A$2,IF(C17=[1]INFO2!B$3,[1]INFO2!A$3,IF(C17=[1]INFO2!B$4,[1]INFO2!A$4,IF(C17=[1]INFO2!B$5,[1]INFO2!A$5,IF(C17=[1]INFO2!B$6,[1]INFO2!A$6,IF(C17=[1]INFO2!B$7,[1]INFO2!A$7,IF(C17=[1]INFO2!B$8,[1]INFO2!A$8,IF(C17=[1]INFO2!B$9,[1]INFO2!A$9,IF(C17=[1]INFO2!B$10,[1]INFO2!A$10,IF(C17=[1]INFO2!B$11,[1]INFO2!A$11,IF(C17=[1]INFO2!B$12,[1]INFO2!A$12,IF(C17=[1]INFO2!B$13,[1]INFO2!A$13,IF(C17=[1]INFO2!B$14,[1]INFO2!A$14,IF(C17=[1]INFO2!B$15,[1]INFO2!A$15,IF(C17=[1]INFO2!B$16,[1]INFO2!A$16,IF(C17=[1]INFO2!B$17,[1]INFO2!A$17,IF(C17=[1]INFO2!B$18,[1]INFO2!A$18,0))))))))))))))))))</f>
        <v>PT-109-002</v>
      </c>
      <c r="C17" s="86" t="s">
        <v>67</v>
      </c>
      <c r="D17" s="76">
        <f>+IF(C17=[1]INFO2!B$1,[1]INFO2!C$1,IF(C17=[1]INFO2!B$2,[1]INFO2!C$2,IF(C17=[1]INFO2!B$3,[1]INFO2!C$3,IF(C17=[1]INFO2!B$4,[1]INFO2!C$4,IF(C17=[1]INFO2!B$5,[1]INFO2!C$5,IF(C17=[1]INFO2!B$6,[1]INFO2!C$6,IF(C17=[1]INFO2!B$7,[1]INFO2!C$7,IF(C17=[1]INFO2!B$8,[1]INFO2!C$8,IF(C17=[1]INFO2!B$9,[1]INFO2!C$9,IF(C17=[1]INFO2!B$10,[1]INFO2!C$10,IF(C17=[1]INFO2!B$11,[1]INFO2!C$11,IF(C17=[1]INFO2!B$12,[1]INFO2!C$12,IF(C17=[1]INFO2!B$13,[1]INFO2!C$13,IF(C17=[1]INFO2!B$14,[1]INFO2!C$14,IF(C17=[1]INFO2!B$15,[1]INFO2!C$15,IF(C17=[1]INFO2!B$16,[1]INFO2!C$16,IF(C17=[1]INFO2!B$17,[1]INFO2!C$17,IF(C17=[1]INFO2!B$18,[1]INFO2!C$18,0))))))))))))))))))</f>
        <v>16.5</v>
      </c>
      <c r="E17" s="78" t="s">
        <v>68</v>
      </c>
      <c r="F17" s="79">
        <v>96</v>
      </c>
      <c r="G17" s="80">
        <v>0</v>
      </c>
      <c r="H17" s="81">
        <v>43</v>
      </c>
      <c r="I17" s="78">
        <v>1</v>
      </c>
      <c r="J17" s="87" t="s">
        <v>109</v>
      </c>
      <c r="K17" s="82">
        <v>1000</v>
      </c>
      <c r="L17" s="83">
        <f t="shared" si="1"/>
        <v>165</v>
      </c>
      <c r="M17" s="84">
        <f>IF(C17=[1]INFO2!$B$2,K17*[1]INFO2!$E$2/$K$9/$K$10,IF(C17=[1]INFO2!$B$3,K17*[1]INFO2!$E$3/$K$9/$K$10,IF(C17=[1]INFO2!$B$4,K17*[1]INFO2!$E$4/$K$9/$K$10,IF(C17=[1]INFO2!$B$5,K17*[1]INFO2!$E$5/$K$9/$K$10,IF(C17=[1]INFO2!$B$6,K17*[1]INFO2!$E$6/$K$9/$K$10,IF(C17=[1]INFO2!$B$7,K17*[1]INFO2!$E$7/$K$9/$K$10,IF(C17=[1]INFO2!$B$8,K17*[1]INFO2!$E$8/$K$9/$K$10,IF(C17=[1]INFO2!$B$9,K17*[1]INFO2!$E$9/$K$9/$K$10,IF(C17=[1]INFO2!$B$10,K17*[1]INFO2!$E$10/$K$9/$K$10,IF(C17=[1]INFO2!$B$11,K17*[1]INFO2!$E$11/$K$9/$K$10,IF(C17=[1]INFO2!$B$12,K17*[1]INFO2!$E$12/$K$9/$K$10,IF(C17=[1]INFO2!$B$13,K17*[1]INFO2!$E$13/$K$9/$K$10,IF(C17=[1]INFO2!$B$14,K17*[1]INFO2!$E$14/$K$9/$K$10,IF(C17=[1]INFO2!$B$15,K17*[1]INFO2!$E$15/$K$9/$K$10,IF(C17=[1]INFO2!$B$16,K17*[1]INFO2!$E$16/$K$9/$K$10,IF(C17=[1]INFO2!$B$17,K17*[1]INFO2!$E$17/$K$9/$K$10,IF(C17=[1]INFO2!$B$18,K17*[1]INFO2!$E$18/$K$9/$K$10,0)))))))))))))))))</f>
        <v>25.252525252525253</v>
      </c>
      <c r="N17" s="84"/>
      <c r="O17" s="75">
        <v>5</v>
      </c>
      <c r="P17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217</v>
      </c>
      <c r="Q17" s="85"/>
    </row>
    <row r="18" spans="1:17" ht="21" customHeight="1" x14ac:dyDescent="0.25">
      <c r="A18" s="75">
        <f t="shared" si="0"/>
        <v>6</v>
      </c>
      <c r="B18" s="76">
        <f>+IF(C18=[1]INFO2!B$1,[1]INFO2!A$1,IF(C18=[1]INFO2!B$2,[1]INFO2!A$2,IF(C18=[1]INFO2!B$3,[1]INFO2!A$3,IF(C18=[1]INFO2!B$4,[1]INFO2!A$4,IF(C18=[1]INFO2!B$5,[1]INFO2!A$5,IF(C18=[1]INFO2!B$6,[1]INFO2!A$6,IF(C18=[1]INFO2!B$7,[1]INFO2!A$7,IF(C18=[1]INFO2!B$8,[1]INFO2!A$8,IF(C18=[1]INFO2!B$9,[1]INFO2!A$9,IF(C18=[1]INFO2!B$10,[1]INFO2!A$10,IF(C18=[1]INFO2!B$11,[1]INFO2!A$11,IF(C18=[1]INFO2!B$12,[1]INFO2!A$12,IF(C18=[1]INFO2!B$13,[1]INFO2!A$13,IF(C18=[1]INFO2!B$14,[1]INFO2!A$14,IF(C18=[1]INFO2!B$15,[1]INFO2!A$15,IF(C18=[1]INFO2!B$16,[1]INFO2!A$16,IF(C18=[1]INFO2!B$17,[1]INFO2!A$17,IF(C18=[1]INFO2!B$18,[1]INFO2!A$18,0))))))))))))))))))</f>
        <v>0</v>
      </c>
      <c r="C18" s="86"/>
      <c r="D18" s="76">
        <f>+IF(C18=[1]INFO2!B$1,[1]INFO2!C$1,IF(C18=[1]INFO2!B$2,[1]INFO2!C$2,IF(C18=[1]INFO2!B$3,[1]INFO2!C$3,IF(C18=[1]INFO2!B$4,[1]INFO2!C$4,IF(C18=[1]INFO2!B$5,[1]INFO2!C$5,IF(C18=[1]INFO2!B$6,[1]INFO2!C$6,IF(C18=[1]INFO2!B$7,[1]INFO2!C$7,IF(C18=[1]INFO2!B$8,[1]INFO2!C$8,IF(C18=[1]INFO2!B$9,[1]INFO2!C$9,IF(C18=[1]INFO2!B$10,[1]INFO2!C$10,IF(C18=[1]INFO2!B$11,[1]INFO2!C$11,IF(C18=[1]INFO2!B$12,[1]INFO2!C$12,IF(C18=[1]INFO2!B$13,[1]INFO2!C$13,IF(C18=[1]INFO2!B$14,[1]INFO2!C$14,IF(C18=[1]INFO2!B$15,[1]INFO2!C$15,IF(C18=[1]INFO2!B$16,[1]INFO2!C$16,IF(C18=[1]INFO2!B$17,[1]INFO2!C$17,IF(C18=[1]INFO2!B$18,[1]INFO2!C$18,0))))))))))))))))))</f>
        <v>0</v>
      </c>
      <c r="E18" s="78" t="s">
        <v>68</v>
      </c>
      <c r="F18" s="79"/>
      <c r="G18" s="80"/>
      <c r="H18" s="81"/>
      <c r="I18" s="78"/>
      <c r="J18" s="79"/>
      <c r="K18" s="82"/>
      <c r="L18" s="83">
        <f t="shared" si="1"/>
        <v>0</v>
      </c>
      <c r="M18" s="84">
        <f>IF(C18=[1]INFO2!$B$2,K18*[1]INFO2!$E$2/$K$9/$K$10,IF(C18=[1]INFO2!$B$3,K18*[1]INFO2!$E$3/$K$9/$K$10,IF(C18=[1]INFO2!$B$4,K18*[1]INFO2!$E$4/$K$9/$K$10,IF(C18=[1]INFO2!$B$5,K18*[1]INFO2!$E$5/$K$9/$K$10,IF(C18=[1]INFO2!$B$6,K18*[1]INFO2!$E$6/$K$9/$K$10,IF(C18=[1]INFO2!$B$7,K18*[1]INFO2!$E$7/$K$9/$K$10,IF(C18=[1]INFO2!$B$8,K18*[1]INFO2!$E$8/$K$9/$K$10,IF(C18=[1]INFO2!$B$9,K18*[1]INFO2!$E$9/$K$9/$K$10,IF(C18=[1]INFO2!$B$10,K18*[1]INFO2!$E$10/$K$9/$K$10,IF(C18=[1]INFO2!$B$11,K18*[1]INFO2!$E$11/$K$9/$K$10,IF(C18=[1]INFO2!$B$12,K18*[1]INFO2!$E$12/$K$9/$K$10,IF(C18=[1]INFO2!$B$13,K18*[1]INFO2!$E$13/$K$9/$K$10,IF(C18=[1]INFO2!$B$14,K18*[1]INFO2!$E$14/$K$9/$K$10,IF(C18=[1]INFO2!$B$15,K18*[1]INFO2!$E$15/$K$9/$K$10,IF(C18=[1]INFO2!$B$16,K18*[1]INFO2!$E$16/$K$9/$K$10,IF(C18=[1]INFO2!$B$17,K18*[1]INFO2!$E$17/$K$9/$K$10,IF(C18=[1]INFO2!$B$18,K18*[1]INFO2!$E$18/$K$9/$K$10,0)))))))))))))))))</f>
        <v>0</v>
      </c>
      <c r="N18" s="84"/>
      <c r="O18" s="75"/>
      <c r="P18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0</v>
      </c>
      <c r="Q18" s="85"/>
    </row>
    <row r="19" spans="1:17" ht="21" customHeight="1" x14ac:dyDescent="0.25">
      <c r="A19" s="75">
        <f t="shared" si="0"/>
        <v>7</v>
      </c>
      <c r="B19" s="76" t="str">
        <f>+IF(C19=[1]INFO2!B$1,[1]INFO2!A$1,IF(C19=[1]INFO2!B$2,[1]INFO2!A$2,IF(C19=[1]INFO2!B$3,[1]INFO2!A$3,IF(C19=[1]INFO2!B$4,[1]INFO2!A$4,IF(C19=[1]INFO2!B$5,[1]INFO2!A$5,IF(C19=[1]INFO2!B$6,[1]INFO2!A$6,IF(C19=[1]INFO2!B$7,[1]INFO2!A$7,IF(C19=[1]INFO2!B$8,[1]INFO2!A$8,IF(C19=[1]INFO2!B$9,[1]INFO2!A$9,IF(C19=[1]INFO2!B$10,[1]INFO2!A$10,IF(C19=[1]INFO2!B$11,[1]INFO2!A$11,IF(C19=[1]INFO2!B$12,[1]INFO2!A$12,IF(C19=[1]INFO2!B$13,[1]INFO2!A$13,IF(C19=[1]INFO2!B$14,[1]INFO2!A$14,IF(C19=[1]INFO2!B$15,[1]INFO2!A$15,IF(C19=[1]INFO2!B$16,[1]INFO2!A$16,IF(C19=[1]INFO2!B$17,[1]INFO2!A$17,IF(C19=[1]INFO2!B$18,[1]INFO2!A$18,0))))))))))))))))))</f>
        <v>PT-106-004</v>
      </c>
      <c r="C19" s="77" t="s">
        <v>81</v>
      </c>
      <c r="D19" s="76">
        <f>+IF(C19=[1]INFO2!B$1,[1]INFO2!C$1,IF(C19=[1]INFO2!B$2,[1]INFO2!C$2,IF(C19=[1]INFO2!B$3,[1]INFO2!C$3,IF(C19=[1]INFO2!B$4,[1]INFO2!C$4,IF(C19=[1]INFO2!B$5,[1]INFO2!C$5,IF(C19=[1]INFO2!B$6,[1]INFO2!C$6,IF(C19=[1]INFO2!B$7,[1]INFO2!C$7,IF(C19=[1]INFO2!B$8,[1]INFO2!C$8,IF(C19=[1]INFO2!B$9,[1]INFO2!C$9,IF(C19=[1]INFO2!B$10,[1]INFO2!C$10,IF(C19=[1]INFO2!B$11,[1]INFO2!C$11,IF(C19=[1]INFO2!B$12,[1]INFO2!C$12,IF(C19=[1]INFO2!B$13,[1]INFO2!C$13,IF(C19=[1]INFO2!B$14,[1]INFO2!C$14,IF(C19=[1]INFO2!B$15,[1]INFO2!C$15,IF(C19=[1]INFO2!B$16,[1]INFO2!C$16,IF(C19=[1]INFO2!B$17,[1]INFO2!C$17,IF(C19=[1]INFO2!B$18,[1]INFO2!C$18,0))))))))))))))))))</f>
        <v>20</v>
      </c>
      <c r="E19" s="78" t="s">
        <v>68</v>
      </c>
      <c r="F19" s="79">
        <v>90</v>
      </c>
      <c r="G19" s="80">
        <v>10</v>
      </c>
      <c r="H19" s="81">
        <v>43</v>
      </c>
      <c r="I19" s="78">
        <v>2</v>
      </c>
      <c r="J19" s="87" t="s">
        <v>109</v>
      </c>
      <c r="K19" s="82">
        <v>3000</v>
      </c>
      <c r="L19" s="83">
        <f t="shared" si="1"/>
        <v>600</v>
      </c>
      <c r="M19" s="84">
        <f>IF(C19=[1]INFO2!$B$2,K19*[1]INFO2!$E$2/$K$9/$K$10,IF(C19=[1]INFO2!$B$3,K19*[1]INFO2!$E$3/$K$9/$K$10,IF(C19=[1]INFO2!$B$4,K19*[1]INFO2!$E$4/$K$9/$K$10,IF(C19=[1]INFO2!$B$5,K19*[1]INFO2!$E$5/$K$9/$K$10,IF(C19=[1]INFO2!$B$6,K19*[1]INFO2!$E$6/$K$9/$K$10,IF(C19=[1]INFO2!$B$7,K19*[1]INFO2!$E$7/$K$9/$K$10,IF(C19=[1]INFO2!$B$8,K19*[1]INFO2!$E$8/$K$9/$K$10,IF(C19=[1]INFO2!$B$9,K19*[1]INFO2!$E$9/$K$9/$K$10,IF(C19=[1]INFO2!$B$10,K19*[1]INFO2!$E$10/$K$9/$K$10,IF(C19=[1]INFO2!$B$11,K19*[1]INFO2!$E$11/$K$9/$K$10,IF(C19=[1]INFO2!$B$12,K19*[1]INFO2!$E$12/$K$9/$K$10,IF(C19=[1]INFO2!$B$13,K19*[1]INFO2!$E$13/$K$9/$K$10,IF(C19=[1]INFO2!$B$14,K19*[1]INFO2!$E$14/$K$9/$K$10,IF(C19=[1]INFO2!$B$15,K19*[1]INFO2!$E$15/$K$9/$K$10,IF(C19=[1]INFO2!$B$16,K19*[1]INFO2!$E$16/$K$9/$K$10,IF(C19=[1]INFO2!$B$17,K19*[1]INFO2!$E$17/$K$9/$K$10,IF(C19=[1]INFO2!$B$18,K19*[1]INFO2!$E$18/$K$9/$K$10,0)))))))))))))))))</f>
        <v>30.303030303030305</v>
      </c>
      <c r="N19" s="84"/>
      <c r="O19" s="75">
        <v>15</v>
      </c>
      <c r="P19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480</v>
      </c>
      <c r="Q19" s="85"/>
    </row>
    <row r="20" spans="1:17" ht="21" customHeight="1" x14ac:dyDescent="0.25">
      <c r="A20" s="75">
        <f t="shared" si="0"/>
        <v>8</v>
      </c>
      <c r="B20" s="76" t="str">
        <f>+IF(C20=[1]INFO2!B$1,[1]INFO2!A$1,IF(C20=[1]INFO2!B$2,[1]INFO2!A$2,IF(C20=[1]INFO2!B$3,[1]INFO2!A$3,IF(C20=[1]INFO2!B$4,[1]INFO2!A$4,IF(C20=[1]INFO2!B$5,[1]INFO2!A$5,IF(C20=[1]INFO2!B$6,[1]INFO2!A$6,IF(C20=[1]INFO2!B$7,[1]INFO2!A$7,IF(C20=[1]INFO2!B$8,[1]INFO2!A$8,IF(C20=[1]INFO2!B$9,[1]INFO2!A$9,IF(C20=[1]INFO2!B$10,[1]INFO2!A$10,IF(C20=[1]INFO2!B$11,[1]INFO2!A$11,IF(C20=[1]INFO2!B$12,[1]INFO2!A$12,IF(C20=[1]INFO2!B$13,[1]INFO2!A$13,IF(C20=[1]INFO2!B$14,[1]INFO2!A$14,IF(C20=[1]INFO2!B$15,[1]INFO2!A$15,IF(C20=[1]INFO2!B$16,[1]INFO2!A$16,IF(C20=[1]INFO2!B$17,[1]INFO2!A$17,IF(C20=[1]INFO2!B$18,[1]INFO2!A$18,0))))))))))))))))))</f>
        <v>PT-106-010</v>
      </c>
      <c r="C20" s="77" t="s">
        <v>112</v>
      </c>
      <c r="D20" s="76">
        <f>+IF(C20=[1]INFO2!B$1,[1]INFO2!C$1,IF(C20=[1]INFO2!B$2,[1]INFO2!C$2,IF(C20=[1]INFO2!B$3,[1]INFO2!C$3,IF(C20=[1]INFO2!B$4,[1]INFO2!C$4,IF(C20=[1]INFO2!B$5,[1]INFO2!C$5,IF(C20=[1]INFO2!B$6,[1]INFO2!C$6,IF(C20=[1]INFO2!B$7,[1]INFO2!C$7,IF(C20=[1]INFO2!B$8,[1]INFO2!C$8,IF(C20=[1]INFO2!B$9,[1]INFO2!C$9,IF(C20=[1]INFO2!B$10,[1]INFO2!C$10,IF(C20=[1]INFO2!B$11,[1]INFO2!C$11,IF(C20=[1]INFO2!B$12,[1]INFO2!C$12,IF(C20=[1]INFO2!B$13,[1]INFO2!C$13,IF(C20=[1]INFO2!B$14,[1]INFO2!C$14,IF(C20=[1]INFO2!B$15,[1]INFO2!C$15,IF(C20=[1]INFO2!B$16,[1]INFO2!C$16,IF(C20=[1]INFO2!B$17,[1]INFO2!C$17,IF(C20=[1]INFO2!B$18,[1]INFO2!C$18,0))))))))))))))))))</f>
        <v>20</v>
      </c>
      <c r="E20" s="78" t="s">
        <v>68</v>
      </c>
      <c r="F20" s="79">
        <v>80</v>
      </c>
      <c r="G20" s="80">
        <v>20</v>
      </c>
      <c r="H20" s="81">
        <v>43</v>
      </c>
      <c r="I20" s="78">
        <v>2</v>
      </c>
      <c r="J20" s="79" t="s">
        <v>109</v>
      </c>
      <c r="K20" s="82">
        <v>2000</v>
      </c>
      <c r="L20" s="83">
        <f t="shared" si="1"/>
        <v>400</v>
      </c>
      <c r="M20" s="84">
        <f>IF(C20=[1]INFO2!$B$2,K20*[1]INFO2!$E$2/$K$9/$K$10,IF(C20=[1]INFO2!$B$3,K20*[1]INFO2!$E$3/$K$9/$K$10,IF(C20=[1]INFO2!$B$4,K20*[1]INFO2!$E$4/$K$9/$K$10,IF(C20=[1]INFO2!$B$5,K20*[1]INFO2!$E$5/$K$9/$K$10,IF(C20=[1]INFO2!$B$6,K20*[1]INFO2!$E$6/$K$9/$K$10,IF(C20=[1]INFO2!$B$7,K20*[1]INFO2!$E$7/$K$9/$K$10,IF(C20=[1]INFO2!$B$8,K20*[1]INFO2!$E$8/$K$9/$K$10,IF(C20=[1]INFO2!$B$9,K20*[1]INFO2!$E$9/$K$9/$K$10,IF(C20=[1]INFO2!$B$10,K20*[1]INFO2!$E$10/$K$9/$K$10,IF(C20=[1]INFO2!$B$11,K20*[1]INFO2!$E$11/$K$9/$K$10,IF(C20=[1]INFO2!$B$12,K20*[1]INFO2!$E$12/$K$9/$K$10,IF(C20=[1]INFO2!$B$13,K20*[1]INFO2!$E$13/$K$9/$K$10,IF(C20=[1]INFO2!$B$14,K20*[1]INFO2!$E$14/$K$9/$K$10,IF(C20=[1]INFO2!$B$15,K20*[1]INFO2!$E$15/$K$9/$K$10,IF(C20=[1]INFO2!$B$16,K20*[1]INFO2!$E$16/$K$9/$K$10,IF(C20=[1]INFO2!$B$17,K20*[1]INFO2!$E$17/$K$9/$K$10,IF(C20=[1]INFO2!$B$18,K20*[1]INFO2!$E$18/$K$9/$K$10,0)))))))))))))))))</f>
        <v>20.202020202020201</v>
      </c>
      <c r="N20" s="84"/>
      <c r="O20" s="75">
        <v>10</v>
      </c>
      <c r="P20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320</v>
      </c>
      <c r="Q20" s="85"/>
    </row>
    <row r="21" spans="1:17" ht="21" customHeight="1" x14ac:dyDescent="0.25">
      <c r="A21" s="75">
        <v>9</v>
      </c>
      <c r="B21" s="76" t="str">
        <f>+IF(C21=[1]INFO2!B$1,[1]INFO2!A$1,IF(C21=[1]INFO2!B$2,[1]INFO2!A$2,IF(C21=[1]INFO2!B$3,[1]INFO2!A$3,IF(C21=[1]INFO2!B$4,[1]INFO2!A$4,IF(C21=[1]INFO2!B$5,[1]INFO2!A$5,IF(C21=[1]INFO2!B$6,[1]INFO2!A$6,IF(C21=[1]INFO2!B$7,[1]INFO2!A$7,IF(C21=[1]INFO2!B$8,[1]INFO2!A$8,IF(C21=[1]INFO2!B$9,[1]INFO2!A$9,IF(C21=[1]INFO2!B$10,[1]INFO2!A$10,IF(C21=[1]INFO2!B$11,[1]INFO2!A$11,IF(C21=[1]INFO2!B$12,[1]INFO2!A$12,IF(C21=[1]INFO2!B$13,[1]INFO2!A$13,IF(C21=[1]INFO2!B$14,[1]INFO2!A$14,IF(C21=[1]INFO2!B$15,[1]INFO2!A$15,IF(C21=[1]INFO2!B$16,[1]INFO2!A$16,IF(C21=[1]INFO2!B$17,[1]INFO2!A$17,IF(C21=[1]INFO2!B$18,[1]INFO2!A$18,0))))))))))))))))))</f>
        <v>PT-106-004</v>
      </c>
      <c r="C21" s="77" t="s">
        <v>81</v>
      </c>
      <c r="D21" s="76">
        <f>+IF(C21=[1]INFO2!B$1,[1]INFO2!C$1,IF(C21=[1]INFO2!B$2,[1]INFO2!C$2,IF(C21=[1]INFO2!B$3,[1]INFO2!C$3,IF(C21=[1]INFO2!B$4,[1]INFO2!C$4,IF(C21=[1]INFO2!B$5,[1]INFO2!C$5,IF(C21=[1]INFO2!B$6,[1]INFO2!C$6,IF(C21=[1]INFO2!B$7,[1]INFO2!C$7,IF(C21=[1]INFO2!B$8,[1]INFO2!C$8,IF(C21=[1]INFO2!B$9,[1]INFO2!C$9,IF(C21=[1]INFO2!B$10,[1]INFO2!C$10,IF(C21=[1]INFO2!B$11,[1]INFO2!C$11,IF(C21=[1]INFO2!B$12,[1]INFO2!C$12,IF(C21=[1]INFO2!B$13,[1]INFO2!C$13,IF(C21=[1]INFO2!B$14,[1]INFO2!C$14,IF(C21=[1]INFO2!B$15,[1]INFO2!C$15,IF(C21=[1]INFO2!B$16,[1]INFO2!C$16,IF(C21=[1]INFO2!B$17,[1]INFO2!C$17,IF(C21=[1]INFO2!B$18,[1]INFO2!C$18,0))))))))))))))))))</f>
        <v>20</v>
      </c>
      <c r="E21" s="78" t="s">
        <v>68</v>
      </c>
      <c r="F21" s="79">
        <v>90</v>
      </c>
      <c r="G21" s="80">
        <v>10</v>
      </c>
      <c r="H21" s="81">
        <v>43</v>
      </c>
      <c r="I21" s="78">
        <v>2</v>
      </c>
      <c r="J21" s="79" t="s">
        <v>109</v>
      </c>
      <c r="K21" s="82">
        <v>3000</v>
      </c>
      <c r="L21" s="83">
        <f t="shared" si="1"/>
        <v>600</v>
      </c>
      <c r="M21" s="84">
        <f>IF(C21=[1]INFO2!$B$2,K21*[1]INFO2!$E$2/$K$9/$K$10,IF(C21=[1]INFO2!$B$3,K21*[1]INFO2!$E$3/$K$9/$K$10,IF(C21=[1]INFO2!$B$4,K21*[1]INFO2!$E$4/$K$9/$K$10,IF(C21=[1]INFO2!$B$5,K21*[1]INFO2!$E$5/$K$9/$K$10,IF(C21=[1]INFO2!$B$6,K21*[1]INFO2!$E$6/$K$9/$K$10,IF(C21=[1]INFO2!$B$7,K21*[1]INFO2!$E$7/$K$9/$K$10,IF(C21=[1]INFO2!$B$8,K21*[1]INFO2!$E$8/$K$9/$K$10,IF(C21=[1]INFO2!$B$9,K21*[1]INFO2!$E$9/$K$9/$K$10,IF(C21=[1]INFO2!$B$10,K21*[1]INFO2!$E$10/$K$9/$K$10,IF(C21=[1]INFO2!$B$11,K21*[1]INFO2!$E$11/$K$9/$K$10,IF(C21=[1]INFO2!$B$12,K21*[1]INFO2!$E$12/$K$9/$K$10,IF(C21=[1]INFO2!$B$13,K21*[1]INFO2!$E$13/$K$9/$K$10,IF(C21=[1]INFO2!$B$14,K21*[1]INFO2!$E$14/$K$9/$K$10,IF(C21=[1]INFO2!$B$15,K21*[1]INFO2!$E$15/$K$9/$K$10,IF(C21=[1]INFO2!$B$16,K21*[1]INFO2!$E$16/$K$9/$K$10,IF(C21=[1]INFO2!$B$17,K21*[1]INFO2!$E$17/$K$9/$K$10,IF(C21=[1]INFO2!$B$18,K21*[1]INFO2!$E$18/$K$9/$K$10,0)))))))))))))))))</f>
        <v>30.303030303030305</v>
      </c>
      <c r="N21" s="84"/>
      <c r="O21" s="75">
        <v>15</v>
      </c>
      <c r="P21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480</v>
      </c>
      <c r="Q21" s="85"/>
    </row>
    <row r="22" spans="1:17" ht="21" customHeight="1" x14ac:dyDescent="0.25">
      <c r="A22" s="75">
        <v>10</v>
      </c>
      <c r="B22" s="76">
        <f>+IF(C22=[1]INFO2!B$1,[1]INFO2!A$1,IF(C22=[1]INFO2!B$2,[1]INFO2!A$2,IF(C22=[1]INFO2!B$3,[1]INFO2!A$3,IF(C22=[1]INFO2!B$4,[1]INFO2!A$4,IF(C22=[1]INFO2!B$5,[1]INFO2!A$5,IF(C22=[1]INFO2!B$6,[1]INFO2!A$6,IF(C22=[1]INFO2!B$7,[1]INFO2!A$7,IF(C22=[1]INFO2!B$8,[1]INFO2!A$8,IF(C22=[1]INFO2!B$9,[1]INFO2!A$9,IF(C22=[1]INFO2!B$10,[1]INFO2!A$10,IF(C22=[1]INFO2!B$11,[1]INFO2!A$11,IF(C22=[1]INFO2!B$12,[1]INFO2!A$12,IF(C22=[1]INFO2!B$13,[1]INFO2!A$13,IF(C22=[1]INFO2!B$14,[1]INFO2!A$14,IF(C22=[1]INFO2!B$15,[1]INFO2!A$15,IF(C22=[1]INFO2!B$16,[1]INFO2!A$16,IF(C22=[1]INFO2!B$17,[1]INFO2!A$17,IF(C22=[1]INFO2!B$18,[1]INFO2!A$18,0))))))))))))))))))</f>
        <v>0</v>
      </c>
      <c r="C22" s="77"/>
      <c r="D22" s="76">
        <f>+IF(C22=[1]INFO2!B$1,[1]INFO2!C$1,IF(C22=[1]INFO2!B$2,[1]INFO2!C$2,IF(C22=[1]INFO2!B$3,[1]INFO2!C$3,IF(C22=[1]INFO2!B$4,[1]INFO2!C$4,IF(C22=[1]INFO2!B$5,[1]INFO2!C$5,IF(C22=[1]INFO2!B$6,[1]INFO2!C$6,IF(C22=[1]INFO2!B$7,[1]INFO2!C$7,IF(C22=[1]INFO2!B$8,[1]INFO2!C$8,IF(C22=[1]INFO2!B$9,[1]INFO2!C$9,IF(C22=[1]INFO2!B$10,[1]INFO2!C$10,IF(C22=[1]INFO2!B$11,[1]INFO2!C$11,IF(C22=[1]INFO2!B$12,[1]INFO2!C$12,IF(C22=[1]INFO2!B$13,[1]INFO2!C$13,IF(C22=[1]INFO2!B$14,[1]INFO2!C$14,IF(C22=[1]INFO2!B$15,[1]INFO2!C$15,IF(C22=[1]INFO2!B$16,[1]INFO2!C$16,IF(C22=[1]INFO2!B$17,[1]INFO2!C$17,IF(C22=[1]INFO2!B$18,[1]INFO2!C$18,0))))))))))))))))))</f>
        <v>0</v>
      </c>
      <c r="E22" s="78" t="s">
        <v>68</v>
      </c>
      <c r="F22" s="79"/>
      <c r="G22" s="80"/>
      <c r="H22" s="81"/>
      <c r="I22" s="78"/>
      <c r="J22" s="87"/>
      <c r="K22" s="82"/>
      <c r="L22" s="83">
        <f t="shared" si="1"/>
        <v>0</v>
      </c>
      <c r="M22" s="84">
        <f>IF(C22=[1]INFO2!$B$2,K22*[1]INFO2!$E$2/$K$9/$K$10,IF(C22=[1]INFO2!$B$3,K22*[1]INFO2!$E$3/$K$9/$K$10,IF(C22=[1]INFO2!$B$4,K22*[1]INFO2!$E$4/$K$9/$K$10,IF(C22=[1]INFO2!$B$5,K22*[1]INFO2!$E$5/$K$9/$K$10,IF(C22=[1]INFO2!$B$6,K22*[1]INFO2!$E$6/$K$9/$K$10,IF(C22=[1]INFO2!$B$7,K22*[1]INFO2!$E$7/$K$9/$K$10,IF(C22=[1]INFO2!$B$8,K22*[1]INFO2!$E$8/$K$9/$K$10,IF(C22=[1]INFO2!$B$9,K22*[1]INFO2!$E$9/$K$9/$K$10,IF(C22=[1]INFO2!$B$10,K22*[1]INFO2!$E$10/$K$9/$K$10,IF(C22=[1]INFO2!$B$11,K22*[1]INFO2!$E$11/$K$9/$K$10,IF(C22=[1]INFO2!$B$12,K22*[1]INFO2!$E$12/$K$9/$K$10,IF(C22=[1]INFO2!$B$13,K22*[1]INFO2!$E$13/$K$9/$K$10,IF(C22=[1]INFO2!$B$14,K22*[1]INFO2!$E$14/$K$9/$K$10,IF(C22=[1]INFO2!$B$15,K22*[1]INFO2!$E$15/$K$9/$K$10,IF(C22=[1]INFO2!$B$16,K22*[1]INFO2!$E$16/$K$9/$K$10,IF(C22=[1]INFO2!$B$17,K22*[1]INFO2!$E$17/$K$9/$K$10,IF(C22=[1]INFO2!$B$18,K22*[1]INFO2!$E$18/$K$9/$K$10,0)))))))))))))))))</f>
        <v>0</v>
      </c>
      <c r="N22" s="84"/>
      <c r="O22" s="75"/>
      <c r="P22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0</v>
      </c>
      <c r="Q22" s="85"/>
    </row>
    <row r="23" spans="1:17" ht="21" customHeight="1" x14ac:dyDescent="0.25">
      <c r="A23" s="75">
        <v>11</v>
      </c>
      <c r="B23" s="76" t="str">
        <f>+IF(C23=[1]INFO2!B$1,[1]INFO2!A$1,IF(C23=[1]INFO2!B$2,[1]INFO2!A$2,IF(C23=[1]INFO2!B$3,[1]INFO2!A$3,IF(C23=[1]INFO2!B$4,[1]INFO2!A$4,IF(C23=[1]INFO2!B$5,[1]INFO2!A$5,IF(C23=[1]INFO2!B$6,[1]INFO2!A$6,IF(C23=[1]INFO2!B$7,[1]INFO2!A$7,IF(C23=[1]INFO2!B$8,[1]INFO2!A$8,IF(C23=[1]INFO2!B$9,[1]INFO2!A$9,IF(C23=[1]INFO2!B$10,[1]INFO2!A$10,IF(C23=[1]INFO2!B$11,[1]INFO2!A$11,IF(C23=[1]INFO2!B$12,[1]INFO2!A$12,IF(C23=[1]INFO2!B$13,[1]INFO2!A$13,IF(C23=[1]INFO2!B$14,[1]INFO2!A$14,IF(C23=[1]INFO2!B$15,[1]INFO2!A$15,IF(C23=[1]INFO2!B$16,[1]INFO2!A$16,IF(C23=[1]INFO2!B$17,[1]INFO2!A$17,IF(C23=[1]INFO2!B$18,[1]INFO2!A$18,0))))))))))))))))))</f>
        <v>PT-104-010</v>
      </c>
      <c r="C23" s="77" t="s">
        <v>113</v>
      </c>
      <c r="D23" s="76">
        <f>+IF(C23=[1]INFO2!B$1,[1]INFO2!C$1,IF(C23=[1]INFO2!B$2,[1]INFO2!C$2,IF(C23=[1]INFO2!B$3,[1]INFO2!C$3,IF(C23=[1]INFO2!B$4,[1]INFO2!C$4,IF(C23=[1]INFO2!B$5,[1]INFO2!C$5,IF(C23=[1]INFO2!B$6,[1]INFO2!C$6,IF(C23=[1]INFO2!B$7,[1]INFO2!C$7,IF(C23=[1]INFO2!B$8,[1]INFO2!C$8,IF(C23=[1]INFO2!B$9,[1]INFO2!C$9,IF(C23=[1]INFO2!B$10,[1]INFO2!C$10,IF(C23=[1]INFO2!B$11,[1]INFO2!C$11,IF(C23=[1]INFO2!B$12,[1]INFO2!C$12,IF(C23=[1]INFO2!B$13,[1]INFO2!C$13,IF(C23=[1]INFO2!B$14,[1]INFO2!C$14,IF(C23=[1]INFO2!B$15,[1]INFO2!C$15,IF(C23=[1]INFO2!B$16,[1]INFO2!C$16,IF(C23=[1]INFO2!B$17,[1]INFO2!C$17,IF(C23=[1]INFO2!B$18,[1]INFO2!C$18,0))))))))))))))))))</f>
        <v>33</v>
      </c>
      <c r="E23" s="78" t="s">
        <v>68</v>
      </c>
      <c r="F23" s="79">
        <v>96</v>
      </c>
      <c r="G23" s="80">
        <v>0</v>
      </c>
      <c r="H23" s="81">
        <v>23</v>
      </c>
      <c r="I23" s="78">
        <v>3</v>
      </c>
      <c r="J23" s="79" t="s">
        <v>109</v>
      </c>
      <c r="K23" s="82">
        <v>600</v>
      </c>
      <c r="L23" s="83">
        <f t="shared" si="1"/>
        <v>198</v>
      </c>
      <c r="M23" s="84">
        <f>IF(C23=[1]INFO2!$B$2,K23*[1]INFO2!$E$2/$K$9/$K$10,IF(C23=[1]INFO2!$B$3,K23*[1]INFO2!$E$3/$K$9/$K$10,IF(C23=[1]INFO2!$B$4,K23*[1]INFO2!$E$4/$K$9/$K$10,IF(C23=[1]INFO2!$B$5,K23*[1]INFO2!$E$5/$K$9/$K$10,IF(C23=[1]INFO2!$B$6,K23*[1]INFO2!$E$6/$K$9/$K$10,IF(C23=[1]INFO2!$B$7,K23*[1]INFO2!$E$7/$K$9/$K$10,IF(C23=[1]INFO2!$B$8,K23*[1]INFO2!$E$8/$K$9/$K$10,IF(C23=[1]INFO2!$B$9,K23*[1]INFO2!$E$9/$K$9/$K$10,IF(C23=[1]INFO2!$B$10,K23*[1]INFO2!$E$10/$K$9/$K$10,IF(C23=[1]INFO2!$B$11,K23*[1]INFO2!$E$11/$K$9/$K$10,IF(C23=[1]INFO2!$B$12,K23*[1]INFO2!$E$12/$K$9/$K$10,IF(C23=[1]INFO2!$B$13,K23*[1]INFO2!$E$13/$K$9/$K$10,IF(C23=[1]INFO2!$B$14,K23*[1]INFO2!$E$14/$K$9/$K$10,IF(C23=[1]INFO2!$B$15,K23*[1]INFO2!$E$15/$K$9/$K$10,IF(C23=[1]INFO2!$B$16,K23*[1]INFO2!$E$16/$K$9/$K$10,IF(C23=[1]INFO2!$B$17,K23*[1]INFO2!$E$17/$K$9/$K$10,IF(C23=[1]INFO2!$B$18,K23*[1]INFO2!$E$18/$K$9/$K$10,0)))))))))))))))))</f>
        <v>3.0303030303030303</v>
      </c>
      <c r="N23" s="84"/>
      <c r="O23" s="75">
        <v>6</v>
      </c>
      <c r="P23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108</v>
      </c>
      <c r="Q23" s="85"/>
    </row>
    <row r="24" spans="1:17" ht="21" customHeight="1" x14ac:dyDescent="0.25">
      <c r="A24" s="75">
        <v>12</v>
      </c>
      <c r="B24" s="76" t="str">
        <f>+IF(C24=[1]INFO2!B$1,[1]INFO2!A$1,IF(C24=[1]INFO2!B$2,[1]INFO2!A$2,IF(C24=[1]INFO2!B$3,[1]INFO2!A$3,IF(C24=[1]INFO2!B$4,[1]INFO2!A$4,IF(C24=[1]INFO2!B$5,[1]INFO2!A$5,IF(C24=[1]INFO2!B$6,[1]INFO2!A$6,IF(C24=[1]INFO2!B$7,[1]INFO2!A$7,IF(C24=[1]INFO2!B$8,[1]INFO2!A$8,IF(C24=[1]INFO2!B$9,[1]INFO2!A$9,IF(C24=[1]INFO2!B$10,[1]INFO2!A$10,IF(C24=[1]INFO2!B$11,[1]INFO2!A$11,IF(C24=[1]INFO2!B$12,[1]INFO2!A$12,IF(C24=[1]INFO2!B$13,[1]INFO2!A$13,IF(C24=[1]INFO2!B$14,[1]INFO2!A$14,IF(C24=[1]INFO2!B$15,[1]INFO2!A$15,IF(C24=[1]INFO2!B$16,[1]INFO2!A$16,IF(C24=[1]INFO2!B$17,[1]INFO2!A$17,IF(C24=[1]INFO2!B$18,[1]INFO2!A$18,0))))))))))))))))))</f>
        <v>PT-103-001</v>
      </c>
      <c r="C24" s="77" t="s">
        <v>35</v>
      </c>
      <c r="D24" s="76">
        <f>+IF(C24=[1]INFO2!B$1,[1]INFO2!C$1,IF(C24=[1]INFO2!B$2,[1]INFO2!C$2,IF(C24=[1]INFO2!B$3,[1]INFO2!C$3,IF(C24=[1]INFO2!B$4,[1]INFO2!C$4,IF(C24=[1]INFO2!B$5,[1]INFO2!C$5,IF(C24=[1]INFO2!B$6,[1]INFO2!C$6,IF(C24=[1]INFO2!B$7,[1]INFO2!C$7,IF(C24=[1]INFO2!B$8,[1]INFO2!C$8,IF(C24=[1]INFO2!B$9,[1]INFO2!C$9,IF(C24=[1]INFO2!B$10,[1]INFO2!C$10,IF(C24=[1]INFO2!B$11,[1]INFO2!C$11,IF(C24=[1]INFO2!B$12,[1]INFO2!C$12,IF(C24=[1]INFO2!B$13,[1]INFO2!C$13,IF(C24=[1]INFO2!B$14,[1]INFO2!C$14,IF(C24=[1]INFO2!B$15,[1]INFO2!C$15,IF(C24=[1]INFO2!B$16,[1]INFO2!C$16,IF(C24=[1]INFO2!B$17,[1]INFO2!C$17,IF(C24=[1]INFO2!B$18,[1]INFO2!C$18,0))))))))))))))))))</f>
        <v>38.5</v>
      </c>
      <c r="E24" s="78" t="s">
        <v>68</v>
      </c>
      <c r="F24" s="79">
        <v>96</v>
      </c>
      <c r="G24" s="80">
        <v>0</v>
      </c>
      <c r="H24" s="81">
        <v>23</v>
      </c>
      <c r="I24" s="78">
        <v>3</v>
      </c>
      <c r="J24" s="79" t="s">
        <v>109</v>
      </c>
      <c r="K24" s="82">
        <v>600</v>
      </c>
      <c r="L24" s="83">
        <f t="shared" si="1"/>
        <v>231</v>
      </c>
      <c r="M24" s="84">
        <f>IF(C24=[1]INFO2!$B$2,K24*[1]INFO2!$E$2/$K$9/$K$10,IF(C24=[1]INFO2!$B$3,K24*[1]INFO2!$E$3/$K$9/$K$10,IF(C24=[1]INFO2!$B$4,K24*[1]INFO2!$E$4/$K$9/$K$10,IF(C24=[1]INFO2!$B$5,K24*[1]INFO2!$E$5/$K$9/$K$10,IF(C24=[1]INFO2!$B$6,K24*[1]INFO2!$E$6/$K$9/$K$10,IF(C24=[1]INFO2!$B$7,K24*[1]INFO2!$E$7/$K$9/$K$10,IF(C24=[1]INFO2!$B$8,K24*[1]INFO2!$E$8/$K$9/$K$10,IF(C24=[1]INFO2!$B$9,K24*[1]INFO2!$E$9/$K$9/$K$10,IF(C24=[1]INFO2!$B$10,K24*[1]INFO2!$E$10/$K$9/$K$10,IF(C24=[1]INFO2!$B$11,K24*[1]INFO2!$E$11/$K$9/$K$10,IF(C24=[1]INFO2!$B$12,K24*[1]INFO2!$E$12/$K$9/$K$10,IF(C24=[1]INFO2!$B$13,K24*[1]INFO2!$E$13/$K$9/$K$10,IF(C24=[1]INFO2!$B$14,K24*[1]INFO2!$E$14/$K$9/$K$10,IF(C24=[1]INFO2!$B$15,K24*[1]INFO2!$E$15/$K$9/$K$10,IF(C24=[1]INFO2!$B$16,K24*[1]INFO2!$E$16/$K$9/$K$10,IF(C24=[1]INFO2!$B$17,K24*[1]INFO2!$E$17/$K$9/$K$10,IF(C24=[1]INFO2!$B$18,K24*[1]INFO2!$E$18/$K$9/$K$10,0)))))))))))))))))</f>
        <v>3.0303030303030303</v>
      </c>
      <c r="N24" s="84"/>
      <c r="O24" s="75">
        <v>7.5</v>
      </c>
      <c r="P24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118</v>
      </c>
      <c r="Q24" s="85"/>
    </row>
    <row r="25" spans="1:17" ht="21" customHeight="1" x14ac:dyDescent="0.25">
      <c r="A25" s="75">
        <v>13</v>
      </c>
      <c r="B25" s="76" t="str">
        <f>+IF(C25=[1]INFO2!B$1,[1]INFO2!A$1,IF(C25=[1]INFO2!B$2,[1]INFO2!A$2,IF(C25=[1]INFO2!B$3,[1]INFO2!A$3,IF(C25=[1]INFO2!B$4,[1]INFO2!A$4,IF(C25=[1]INFO2!B$5,[1]INFO2!A$5,IF(C25=[1]INFO2!B$6,[1]INFO2!A$6,IF(C25=[1]INFO2!B$7,[1]INFO2!A$7,IF(C25=[1]INFO2!B$8,[1]INFO2!A$8,IF(C25=[1]INFO2!B$9,[1]INFO2!A$9,IF(C25=[1]INFO2!B$10,[1]INFO2!A$10,IF(C25=[1]INFO2!B$11,[1]INFO2!A$11,IF(C25=[1]INFO2!B$12,[1]INFO2!A$12,IF(C25=[1]INFO2!B$13,[1]INFO2!A$13,IF(C25=[1]INFO2!B$14,[1]INFO2!A$14,IF(C25=[1]INFO2!B$15,[1]INFO2!A$15,IF(C25=[1]INFO2!B$16,[1]INFO2!A$16,IF(C25=[1]INFO2!B$17,[1]INFO2!A$17,IF(C25=[1]INFO2!B$18,[1]INFO2!A$18,0))))))))))))))))))</f>
        <v>PT-102-001</v>
      </c>
      <c r="C25" s="77" t="s">
        <v>79</v>
      </c>
      <c r="D25" s="76">
        <f>+IF(C25=[1]INFO2!B$1,[1]INFO2!C$1,IF(C25=[1]INFO2!B$2,[1]INFO2!C$2,IF(C25=[1]INFO2!B$3,[1]INFO2!C$3,IF(C25=[1]INFO2!B$4,[1]INFO2!C$4,IF(C25=[1]INFO2!B$5,[1]INFO2!C$5,IF(C25=[1]INFO2!B$6,[1]INFO2!C$6,IF(C25=[1]INFO2!B$7,[1]INFO2!C$7,IF(C25=[1]INFO2!B$8,[1]INFO2!C$8,IF(C25=[1]INFO2!B$9,[1]INFO2!C$9,IF(C25=[1]INFO2!B$10,[1]INFO2!C$10,IF(C25=[1]INFO2!B$11,[1]INFO2!C$11,IF(C25=[1]INFO2!B$12,[1]INFO2!C$12,IF(C25=[1]INFO2!B$13,[1]INFO2!C$13,IF(C25=[1]INFO2!B$14,[1]INFO2!C$14,IF(C25=[1]INFO2!B$15,[1]INFO2!C$15,IF(C25=[1]INFO2!B$16,[1]INFO2!C$16,IF(C25=[1]INFO2!B$17,[1]INFO2!C$17,IF(C25=[1]INFO2!B$18,[1]INFO2!C$18,0))))))))))))))))))</f>
        <v>40</v>
      </c>
      <c r="E25" s="78" t="s">
        <v>68</v>
      </c>
      <c r="F25" s="79">
        <v>96</v>
      </c>
      <c r="G25" s="80">
        <v>0</v>
      </c>
      <c r="H25" s="81">
        <v>23</v>
      </c>
      <c r="I25" s="78">
        <v>3</v>
      </c>
      <c r="J25" s="79" t="s">
        <v>109</v>
      </c>
      <c r="K25" s="82">
        <v>300</v>
      </c>
      <c r="L25" s="83">
        <f t="shared" si="1"/>
        <v>120</v>
      </c>
      <c r="M25" s="84">
        <f>IF(C25=[1]INFO2!$B$2,K25*[1]INFO2!$E$2/$K$9/$K$10,IF(C25=[1]INFO2!$B$3,K25*[1]INFO2!$E$3/$K$9/$K$10,IF(C25=[1]INFO2!$B$4,K25*[1]INFO2!$E$4/$K$9/$K$10,IF(C25=[1]INFO2!$B$5,K25*[1]INFO2!$E$5/$K$9/$K$10,IF(C25=[1]INFO2!$B$6,K25*[1]INFO2!$E$6/$K$9/$K$10,IF(C25=[1]INFO2!$B$7,K25*[1]INFO2!$E$7/$K$9/$K$10,IF(C25=[1]INFO2!$B$8,K25*[1]INFO2!$E$8/$K$9/$K$10,IF(C25=[1]INFO2!$B$9,K25*[1]INFO2!$E$9/$K$9/$K$10,IF(C25=[1]INFO2!$B$10,K25*[1]INFO2!$E$10/$K$9/$K$10,IF(C25=[1]INFO2!$B$11,K25*[1]INFO2!$E$11/$K$9/$K$10,IF(C25=[1]INFO2!$B$12,K25*[1]INFO2!$E$12/$K$9/$K$10,IF(C25=[1]INFO2!$B$13,K25*[1]INFO2!$E$13/$K$9/$K$10,IF(C25=[1]INFO2!$B$14,K25*[1]INFO2!$E$14/$K$9/$K$10,IF(C25=[1]INFO2!$B$15,K25*[1]INFO2!$E$15/$K$9/$K$10,IF(C25=[1]INFO2!$B$16,K25*[1]INFO2!$E$16/$K$9/$K$10,IF(C25=[1]INFO2!$B$17,K25*[1]INFO2!$E$17/$K$9/$K$10,IF(C25=[1]INFO2!$B$18,K25*[1]INFO2!$E$18/$K$9/$K$10,0)))))))))))))))))</f>
        <v>1.5151515151515151</v>
      </c>
      <c r="N25" s="84"/>
      <c r="O25" s="75">
        <v>3.75</v>
      </c>
      <c r="P25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60</v>
      </c>
      <c r="Q25" s="85"/>
    </row>
    <row r="26" spans="1:17" ht="21" customHeight="1" x14ac:dyDescent="0.25">
      <c r="A26" s="75">
        <v>14</v>
      </c>
      <c r="B26" s="76" t="str">
        <f>+IF(C26=[1]INFO2!B$1,[1]INFO2!A$1,IF(C26=[1]INFO2!B$2,[1]INFO2!A$2,IF(C26=[1]INFO2!B$3,[1]INFO2!A$3,IF(C26=[1]INFO2!B$4,[1]INFO2!A$4,IF(C26=[1]INFO2!B$5,[1]INFO2!A$5,IF(C26=[1]INFO2!B$6,[1]INFO2!A$6,IF(C26=[1]INFO2!B$7,[1]INFO2!A$7,IF(C26=[1]INFO2!B$8,[1]INFO2!A$8,IF(C26=[1]INFO2!B$9,[1]INFO2!A$9,IF(C26=[1]INFO2!B$10,[1]INFO2!A$10,IF(C26=[1]INFO2!B$11,[1]INFO2!A$11,IF(C26=[1]INFO2!B$12,[1]INFO2!A$12,IF(C26=[1]INFO2!B$13,[1]INFO2!A$13,IF(C26=[1]INFO2!B$14,[1]INFO2!A$14,IF(C26=[1]INFO2!B$15,[1]INFO2!A$15,IF(C26=[1]INFO2!B$16,[1]INFO2!A$16,IF(C26=[1]INFO2!B$17,[1]INFO2!A$17,IF(C26=[1]INFO2!B$18,[1]INFO2!A$18,0))))))))))))))))))</f>
        <v>PT-106-002</v>
      </c>
      <c r="C26" s="77" t="s">
        <v>53</v>
      </c>
      <c r="D26" s="76">
        <f>+IF(C26=[1]INFO2!B$1,[1]INFO2!C$1,IF(C26=[1]INFO2!B$2,[1]INFO2!C$2,IF(C26=[1]INFO2!B$3,[1]INFO2!C$3,IF(C26=[1]INFO2!B$4,[1]INFO2!C$4,IF(C26=[1]INFO2!B$5,[1]INFO2!C$5,IF(C26=[1]INFO2!B$6,[1]INFO2!C$6,IF(C26=[1]INFO2!B$7,[1]INFO2!C$7,IF(C26=[1]INFO2!B$8,[1]INFO2!C$8,IF(C26=[1]INFO2!B$9,[1]INFO2!C$9,IF(C26=[1]INFO2!B$10,[1]INFO2!C$10,IF(C26=[1]INFO2!B$11,[1]INFO2!C$11,IF(C26=[1]INFO2!B$12,[1]INFO2!C$12,IF(C26=[1]INFO2!B$13,[1]INFO2!C$13,IF(C26=[1]INFO2!B$14,[1]INFO2!C$14,IF(C26=[1]INFO2!B$15,[1]INFO2!C$15,IF(C26=[1]INFO2!B$16,[1]INFO2!C$16,IF(C26=[1]INFO2!B$17,[1]INFO2!C$17,IF(C26=[1]INFO2!B$18,[1]INFO2!C$18,0))))))))))))))))))</f>
        <v>25</v>
      </c>
      <c r="E26" s="78" t="s">
        <v>68</v>
      </c>
      <c r="F26" s="79">
        <v>96</v>
      </c>
      <c r="G26" s="80">
        <v>0</v>
      </c>
      <c r="H26" s="81">
        <v>23</v>
      </c>
      <c r="I26" s="78">
        <v>3</v>
      </c>
      <c r="J26" s="79" t="s">
        <v>109</v>
      </c>
      <c r="K26" s="82">
        <v>1500</v>
      </c>
      <c r="L26" s="83">
        <f t="shared" si="1"/>
        <v>375</v>
      </c>
      <c r="M26" s="84">
        <f>IF(C26=[1]INFO2!$B$2,K26*[1]INFO2!$E$2/$K$9/$K$10,IF(C26=[1]INFO2!$B$3,K26*[1]INFO2!$E$3/$K$9/$K$10,IF(C26=[1]INFO2!$B$4,K26*[1]INFO2!$E$4/$K$9/$K$10,IF(C26=[1]INFO2!$B$5,K26*[1]INFO2!$E$5/$K$9/$K$10,IF(C26=[1]INFO2!$B$6,K26*[1]INFO2!$E$6/$K$9/$K$10,IF(C26=[1]INFO2!$B$7,K26*[1]INFO2!$E$7/$K$9/$K$10,IF(C26=[1]INFO2!$B$8,K26*[1]INFO2!$E$8/$K$9/$K$10,IF(C26=[1]INFO2!$B$9,K26*[1]INFO2!$E$9/$K$9/$K$10,IF(C26=[1]INFO2!$B$10,K26*[1]INFO2!$E$10/$K$9/$K$10,IF(C26=[1]INFO2!$B$11,K26*[1]INFO2!$E$11/$K$9/$K$10,IF(C26=[1]INFO2!$B$12,K26*[1]INFO2!$E$12/$K$9/$K$10,IF(C26=[1]INFO2!$B$13,K26*[1]INFO2!$E$13/$K$9/$K$10,IF(C26=[1]INFO2!$B$14,K26*[1]INFO2!$E$14/$K$9/$K$10,IF(C26=[1]INFO2!$B$15,K26*[1]INFO2!$E$15/$K$9/$K$10,IF(C26=[1]INFO2!$B$16,K26*[1]INFO2!$E$16/$K$9/$K$10,IF(C26=[1]INFO2!$B$17,K26*[1]INFO2!$E$17/$K$9/$K$10,IF(C26=[1]INFO2!$B$18,K26*[1]INFO2!$E$18/$K$9/$K$10,0)))))))))))))))))</f>
        <v>18.939393939393938</v>
      </c>
      <c r="N26" s="84"/>
      <c r="O26" s="75">
        <v>10.7</v>
      </c>
      <c r="P26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300</v>
      </c>
      <c r="Q26" s="85"/>
    </row>
    <row r="27" spans="1:17" ht="21" customHeight="1" x14ac:dyDescent="0.25">
      <c r="A27" s="75"/>
      <c r="B27" s="76" t="str">
        <f>+IF(C27=[1]INFO2!B$1,[1]INFO2!A$1,IF(C27=[1]INFO2!B$2,[1]INFO2!A$2,IF(C27=[1]INFO2!B$3,[1]INFO2!A$3,IF(C27=[1]INFO2!B$4,[1]INFO2!A$4,IF(C27=[1]INFO2!B$5,[1]INFO2!A$5,IF(C27=[1]INFO2!B$6,[1]INFO2!A$6,IF(C27=[1]INFO2!B$7,[1]INFO2!A$7,IF(C27=[1]INFO2!B$8,[1]INFO2!A$8,IF(C27=[1]INFO2!B$9,[1]INFO2!A$9,IF(C27=[1]INFO2!B$10,[1]INFO2!A$10,IF(C27=[1]INFO2!B$11,[1]INFO2!A$11,IF(C27=[1]INFO2!B$12,[1]INFO2!A$12,IF(C27=[1]INFO2!B$13,[1]INFO2!A$13,IF(C27=[1]INFO2!B$14,[1]INFO2!A$14,IF(C27=[1]INFO2!B$15,[1]INFO2!A$15,IF(C27=[1]INFO2!B$16,[1]INFO2!A$16,IF(C27=[1]INFO2!B$17,[1]INFO2!A$17,IF(C27=[1]INFO2!B$18,[1]INFO2!A$18,0))))))))))))))))))</f>
        <v>PT-107-001</v>
      </c>
      <c r="C27" s="77" t="s">
        <v>57</v>
      </c>
      <c r="D27" s="76">
        <f>+IF(C27=[1]INFO2!B$1,[1]INFO2!C$1,IF(C27=[1]INFO2!B$2,[1]INFO2!C$2,IF(C27=[1]INFO2!B$3,[1]INFO2!C$3,IF(C27=[1]INFO2!B$4,[1]INFO2!C$4,IF(C27=[1]INFO2!B$5,[1]INFO2!C$5,IF(C27=[1]INFO2!B$6,[1]INFO2!C$6,IF(C27=[1]INFO2!B$7,[1]INFO2!C$7,IF(C27=[1]INFO2!B$8,[1]INFO2!C$8,IF(C27=[1]INFO2!B$9,[1]INFO2!C$9,IF(C27=[1]INFO2!B$10,[1]INFO2!C$10,IF(C27=[1]INFO2!B$11,[1]INFO2!C$11,IF(C27=[1]INFO2!B$12,[1]INFO2!C$12,IF(C27=[1]INFO2!B$13,[1]INFO2!C$13,IF(C27=[1]INFO2!B$14,[1]INFO2!C$14,IF(C27=[1]INFO2!B$15,[1]INFO2!C$15,IF(C27=[1]INFO2!B$16,[1]INFO2!C$16,IF(C27=[1]INFO2!B$17,[1]INFO2!C$17,IF(C27=[1]INFO2!B$18,[1]INFO2!C$18,0))))))))))))))))))</f>
        <v>19.2</v>
      </c>
      <c r="E27" s="78" t="s">
        <v>68</v>
      </c>
      <c r="F27" s="79">
        <v>96</v>
      </c>
      <c r="G27" s="80">
        <v>0</v>
      </c>
      <c r="H27" s="81">
        <v>23</v>
      </c>
      <c r="I27" s="78">
        <v>3</v>
      </c>
      <c r="J27" s="79" t="s">
        <v>109</v>
      </c>
      <c r="K27" s="82">
        <v>3000</v>
      </c>
      <c r="L27" s="83">
        <f>+D27*K27/100</f>
        <v>576</v>
      </c>
      <c r="M27" s="84">
        <f>IF(C27=[1]INFO2!$B$2,K27*[1]INFO2!$E$2/$K$9/$K$10,IF(C27=[1]INFO2!$B$3,K27*[1]INFO2!$E$3/$K$9/$K$10,IF(C27=[1]INFO2!$B$4,K27*[1]INFO2!$E$4/$K$9/$K$10,IF(C27=[1]INFO2!$B$5,K27*[1]INFO2!$E$5/$K$9/$K$10,IF(C27=[1]INFO2!$B$6,K27*[1]INFO2!$E$6/$K$9/$K$10,IF(C27=[1]INFO2!$B$7,K27*[1]INFO2!$E$7/$K$9/$K$10,IF(C27=[1]INFO2!$B$8,K27*[1]INFO2!$E$8/$K$9/$K$10,IF(C27=[1]INFO2!$B$9,K27*[1]INFO2!$E$9/$K$9/$K$10,IF(C27=[1]INFO2!$B$10,K27*[1]INFO2!$E$10/$K$9/$K$10,IF(C27=[1]INFO2!$B$11,K27*[1]INFO2!$E$11/$K$9/$K$10,IF(C27=[1]INFO2!$B$12,K27*[1]INFO2!$E$12/$K$9/$K$10,IF(C27=[1]INFO2!$B$13,K27*[1]INFO2!$E$13/$K$9/$K$10,IF(C27=[1]INFO2!$B$14,K27*[1]INFO2!$E$14/$K$9/$K$10,IF(C27=[1]INFO2!$B$15,K27*[1]INFO2!$E$15/$K$9/$K$10,IF(C27=[1]INFO2!$B$16,K27*[1]INFO2!$E$16/$K$9/$K$10,IF(C27=[1]INFO2!$B$17,K27*[1]INFO2!$E$17/$K$9/$K$10,IF(C27=[1]INFO2!$B$18,K27*[1]INFO2!$E$18/$K$9/$K$10,0)))))))))))))))))</f>
        <v>37.878787878787875</v>
      </c>
      <c r="N27" s="84"/>
      <c r="O27" s="88">
        <v>18.75</v>
      </c>
      <c r="P27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497</v>
      </c>
      <c r="Q27" s="89"/>
    </row>
    <row r="28" spans="1:17" ht="21" customHeight="1" x14ac:dyDescent="0.25">
      <c r="A28" s="75"/>
      <c r="B28" s="76">
        <f>+IF(C28=[1]INFO2!B$1,[1]INFO2!A$1,IF(C28=[1]INFO2!B$2,[1]INFO2!A$2,IF(C28=[1]INFO2!B$3,[1]INFO2!A$3,IF(C28=[1]INFO2!B$4,[1]INFO2!A$4,IF(C28=[1]INFO2!B$5,[1]INFO2!A$5,IF(C28=[1]INFO2!B$6,[1]INFO2!A$6,IF(C28=[1]INFO2!B$7,[1]INFO2!A$7,IF(C28=[1]INFO2!B$8,[1]INFO2!A$8,IF(C28=[1]INFO2!B$9,[1]INFO2!A$9,IF(C28=[1]INFO2!B$10,[1]INFO2!A$10,IF(C28=[1]INFO2!B$11,[1]INFO2!A$11,IF(C28=[1]INFO2!B$12,[1]INFO2!A$12,IF(C28=[1]INFO2!B$13,[1]INFO2!A$13,IF(C28=[1]INFO2!B$14,[1]INFO2!A$14,IF(C28=[1]INFO2!B$15,[1]INFO2!A$15,IF(C28=[1]INFO2!B$16,[1]INFO2!A$16,IF(C28=[1]INFO2!B$17,[1]INFO2!A$17,IF(C28=[1]INFO2!B$18,[1]INFO2!A$18,0))))))))))))))))))</f>
        <v>0</v>
      </c>
      <c r="C28" s="77"/>
      <c r="D28" s="76">
        <f>+IF(C28=[1]INFO2!B$1,[1]INFO2!C$1,IF(C28=[1]INFO2!B$2,[1]INFO2!C$2,IF(C28=[1]INFO2!B$3,[1]INFO2!C$3,IF(C28=[1]INFO2!B$4,[1]INFO2!C$4,IF(C28=[1]INFO2!B$5,[1]INFO2!C$5,IF(C28=[1]INFO2!B$6,[1]INFO2!C$6,IF(C28=[1]INFO2!B$7,[1]INFO2!C$7,IF(C28=[1]INFO2!B$8,[1]INFO2!C$8,IF(C28=[1]INFO2!B$9,[1]INFO2!C$9,IF(C28=[1]INFO2!B$10,[1]INFO2!C$10,IF(C28=[1]INFO2!B$11,[1]INFO2!C$11,IF(C28=[1]INFO2!B$12,[1]INFO2!C$12,IF(C28=[1]INFO2!B$13,[1]INFO2!C$13,IF(C28=[1]INFO2!B$14,[1]INFO2!C$14,IF(C28=[1]INFO2!B$15,[1]INFO2!C$15,IF(C28=[1]INFO2!B$16,[1]INFO2!C$16,IF(C28=[1]INFO2!B$17,[1]INFO2!C$17,IF(C28=[1]INFO2!B$18,[1]INFO2!C$18,0))))))))))))))))))</f>
        <v>0</v>
      </c>
      <c r="E28" s="78" t="s">
        <v>68</v>
      </c>
      <c r="F28" s="79"/>
      <c r="G28" s="80"/>
      <c r="H28" s="81"/>
      <c r="I28" s="78"/>
      <c r="J28" s="79"/>
      <c r="K28" s="82"/>
      <c r="L28" s="83">
        <f>+D28*K28/100</f>
        <v>0</v>
      </c>
      <c r="M28" s="84">
        <f>IF(C28=[1]INFO2!$B$2,K28*[1]INFO2!$E$2/$K$9/$K$10,IF(C28=[1]INFO2!$B$3,K28*[1]INFO2!$E$3/$K$9/$K$10,IF(C28=[1]INFO2!$B$4,K28*[1]INFO2!$E$4/$K$9/$K$10,IF(C28=[1]INFO2!$B$5,K28*[1]INFO2!$E$5/$K$9/$K$10,IF(C28=[1]INFO2!$B$6,K28*[1]INFO2!$E$6/$K$9/$K$10,IF(C28=[1]INFO2!$B$7,K28*[1]INFO2!$E$7/$K$9/$K$10,IF(C28=[1]INFO2!$B$8,K28*[1]INFO2!$E$8/$K$9/$K$10,IF(C28=[1]INFO2!$B$9,K28*[1]INFO2!$E$9/$K$9/$K$10,IF(C28=[1]INFO2!$B$10,K28*[1]INFO2!$E$10/$K$9/$K$10,IF(C28=[1]INFO2!$B$11,K28*[1]INFO2!$E$11/$K$9/$K$10,IF(C28=[1]INFO2!$B$12,K28*[1]INFO2!$E$12/$K$9/$K$10,IF(C28=[1]INFO2!$B$13,K28*[1]INFO2!$E$13/$K$9/$K$10,IF(C28=[1]INFO2!$B$14,K28*[1]INFO2!$E$14/$K$9/$K$10,IF(C28=[1]INFO2!$B$15,K28*[1]INFO2!$E$15/$K$9/$K$10,IF(C28=[1]INFO2!$B$16,K28*[1]INFO2!$E$16/$K$9/$K$10,IF(C28=[1]INFO2!$B$17,K28*[1]INFO2!$E$17/$K$9/$K$10,IF(C28=[1]INFO2!$B$18,K28*[1]INFO2!$E$18/$K$9/$K$10,0)))))))))))))))))</f>
        <v>0</v>
      </c>
      <c r="N28" s="84"/>
      <c r="O28" s="88"/>
      <c r="P28" s="76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0</v>
      </c>
      <c r="Q28" s="89"/>
    </row>
    <row r="29" spans="1:17" ht="21" customHeight="1" thickBot="1" x14ac:dyDescent="0.3">
      <c r="A29" s="90">
        <v>15</v>
      </c>
      <c r="B29" s="91">
        <f>+IF(C29=[1]INFO2!B$1,[1]INFO2!A$1,IF(C29=[1]INFO2!B$2,[1]INFO2!A$2,IF(C29=[1]INFO2!B$3,[1]INFO2!A$3,IF(C29=[1]INFO2!B$4,[1]INFO2!A$4,IF(C29=[1]INFO2!B$5,[1]INFO2!A$5,IF(C29=[1]INFO2!B$6,[1]INFO2!A$6,IF(C29=[1]INFO2!B$7,[1]INFO2!A$7,IF(C29=[1]INFO2!B$8,[1]INFO2!A$8,IF(C29=[1]INFO2!B$9,[1]INFO2!A$9,IF(C29=[1]INFO2!B$10,[1]INFO2!A$10,IF(C29=[1]INFO2!B$11,[1]INFO2!A$11,IF(C29=[1]INFO2!B$12,[1]INFO2!A$12,IF(C29=[1]INFO2!B$13,[1]INFO2!A$13,IF(C29=[1]INFO2!B$14,[1]INFO2!A$14,IF(C29=[1]INFO2!B$15,[1]INFO2!A$15,IF(C29=[1]INFO2!B$16,[1]INFO2!A$16,IF(C29=[1]INFO2!B$17,[1]INFO2!A$17,IF(C29=[1]INFO2!B$18,[1]INFO2!A$18,0))))))))))))))))))</f>
        <v>0</v>
      </c>
      <c r="C29" s="46"/>
      <c r="D29" s="92">
        <f>+IF(C29=[1]INFO2!B$1,[1]INFO2!C$1,IF(C29=[1]INFO2!B$2,[1]INFO2!C$2,IF(C29=[1]INFO2!B$3,[1]INFO2!C$3,IF(C29=[1]INFO2!B$4,[1]INFO2!C$4,IF(C29=[1]INFO2!B$5,[1]INFO2!C$5,IF(C29=[1]INFO2!B$6,[1]INFO2!C$6,IF(C29=[1]INFO2!B$7,[1]INFO2!C$7,IF(C29=[1]INFO2!B$8,[1]INFO2!C$8,IF(C29=[1]INFO2!B$9,[1]INFO2!C$9,IF(C29=[1]INFO2!B$10,[1]INFO2!C$10,IF(C29=[1]INFO2!B$11,[1]INFO2!C$11,IF(C29=[1]INFO2!B$12,[1]INFO2!C$12,IF(C29=[1]INFO2!B$13,[1]INFO2!C$13,IF(C29=[1]INFO2!B$14,[1]INFO2!C$14,IF(C29=[1]INFO2!B$15,[1]INFO2!C$15,IF(C29=[1]INFO2!B$16,[1]INFO2!C$16,IF(C29=[1]INFO2!B$17,[1]INFO2!C$17,IF(C29=[1]INFO2!B$18,[1]INFO2!C$18,0))))))))))))))))))</f>
        <v>0</v>
      </c>
      <c r="E29" s="93" t="s">
        <v>68</v>
      </c>
      <c r="F29" s="94"/>
      <c r="G29" s="95"/>
      <c r="H29" s="96"/>
      <c r="I29" s="93"/>
      <c r="J29" s="94"/>
      <c r="K29" s="97"/>
      <c r="L29" s="98">
        <f t="shared" si="1"/>
        <v>0</v>
      </c>
      <c r="M29" s="99">
        <f>IF(C29=[1]INFO2!$B$2,K29*[1]INFO2!$E$2/$K$9/$K$10,IF(C29=[1]INFO2!$B$3,K29*[1]INFO2!$E$3/$K$9/$K$10,IF(C29=[1]INFO2!$B$4,K29*[1]INFO2!$E$4/$K$9/$K$10,IF(C29=[1]INFO2!$B$5,K29*[1]INFO2!$E$5/$K$9/$K$10,IF(C29=[1]INFO2!$B$6,K29*[1]INFO2!$E$6/$K$9/$K$10,IF(C29=[1]INFO2!$B$7,K29*[1]INFO2!$E$7/$K$9/$K$10,IF(C29=[1]INFO2!$B$8,K29*[1]INFO2!$E$8/$K$9/$K$10,IF(C29=[1]INFO2!$B$9,K29*[1]INFO2!$E$9/$K$9/$K$10,IF(C29=[1]INFO2!$B$10,K29*[1]INFO2!$E$10/$K$9/$K$10,IF(C29=[1]INFO2!$B$11,K29*[1]INFO2!$E$11/$K$9/$K$10,IF(C29=[1]INFO2!$B$12,K29*[1]INFO2!$E$12/$K$9/$K$10,IF(C29=[1]INFO2!$B$13,K29*[1]INFO2!$E$13/$K$9/$K$10,IF(C29=[1]INFO2!$B$14,K29*[1]INFO2!$E$14/$K$9/$K$10,IF(C29=[1]INFO2!$B$15,K29*[1]INFO2!$E$15/$K$9/$K$10,IF(C29=[1]INFO2!$B$16,K29*[1]INFO2!$E$16/$K$9/$K$10,IF(C29=[1]INFO2!$B$17,K29*[1]INFO2!$E$17/$K$9/$K$10,IF(C29=[1]INFO2!$B$18,K29*[1]INFO2!$E$18/$K$9/$K$10,0)))))))))))))))))</f>
        <v>0</v>
      </c>
      <c r="N29" s="143"/>
      <c r="O29" s="90"/>
      <c r="P29" s="92">
        <f>ROUNDUP(IF(Table1[[#This Row],[DESCRIPCION DEL PRODUCTO]]=[1]INFO2!$B$2,Table1[[#This Row],[CANTIDAD]]/[1]INFO2!$F$2*[1]INFO2!$E$2,IF(Table1[[#This Row],[DESCRIPCION DEL PRODUCTO]]=[1]INFO2!$B$3,Table1[[#This Row],[CANTIDAD]]/[1]INFO2!$F$3*[1]INFO2!$E$3,IF(Table1[[#This Row],[DESCRIPCION DEL PRODUCTO]]=[1]INFO2!$B$4,Table1[[#This Row],[CANTIDAD]]/[1]INFO2!$F$4*[1]INFO2!$E$4,IF(Table1[[#This Row],[DESCRIPCION DEL PRODUCTO]]=[1]INFO2!$B$5,Table1[[#This Row],[CANTIDAD]]/[1]INFO2!$F$5*[1]INFO2!$E$5,IF(Table1[[#This Row],[DESCRIPCION DEL PRODUCTO]]=[1]INFO2!$B$6,Table1[[#This Row],[CANTIDAD]]/[1]INFO2!$F$6*[1]INFO2!$E$6,IF(Table1[[#This Row],[DESCRIPCION DEL PRODUCTO]]=[1]INFO2!$B$7,Table1[[#This Row],[CANTIDAD]]/[1]INFO2!$F$7*[1]INFO2!$E$7,IF(Table1[[#This Row],[DESCRIPCION DEL PRODUCTO]]=[1]INFO2!$B$8,Table1[[#This Row],[CANTIDAD]]/[1]INFO2!$F$8*[1]INFO2!$E$8,IF(Table1[[#This Row],[DESCRIPCION DEL PRODUCTO]]=[1]INFO2!$B$9,Table1[[#This Row],[CANTIDAD]]/[1]INFO2!$F$9*[1]INFO2!$E$9,IF(Table1[[#This Row],[DESCRIPCION DEL PRODUCTO]]=[1]INFO2!$B$10,Table1[[#This Row],[CANTIDAD]]/[1]INFO2!$F$10*[1]INFO2!$E$10,IF(Table1[[#This Row],[DESCRIPCION DEL PRODUCTO]]=[1]INFO2!$B$11,Table1[[#This Row],[CANTIDAD]]/[1]INFO2!$F$11*[1]INFO2!$E$11,IF(Table1[[#This Row],[DESCRIPCION DEL PRODUCTO]]=[1]INFO2!$B$12,Table1[[#This Row],[CANTIDAD]]/[1]INFO2!$F$12*[1]INFO2!$E$12,IF(Table1[[#This Row],[DESCRIPCION DEL PRODUCTO]]=[1]INFO2!$B$13,Table1[[#This Row],[CANTIDAD]]/[1]INFO2!$F$13*[1]INFO2!$E$13,IF(Table1[[#This Row],[DESCRIPCION DEL PRODUCTO]]=[1]INFO2!$B$14,Table1[[#This Row],[CANTIDAD]]/[1]INFO2!$F$14*[1]INFO2!$E$14,IF(Table1[[#This Row],[DESCRIPCION DEL PRODUCTO]]=[1]INFO2!$B$15,Table1[[#This Row],[CANTIDAD]]/[1]INFO2!$F$15*[1]INFO2!$E$15,IF(Table1[[#This Row],[DESCRIPCION DEL PRODUCTO]]=[1]INFO2!$B$16,Table1[[#This Row],[CANTIDAD]]/[1]INFO2!$F$16*[1]INFO2!$E$16,IF(Table1[[#This Row],[DESCRIPCION DEL PRODUCTO]]=[1]INFO2!$B$17,Table1[[#This Row],[CANTIDAD]]/[1]INFO2!$F$17*[1]INFO2!$E$17,IF(Table1[[#This Row],[DESCRIPCION DEL PRODUCTO]]=[1]INFO2!$B$18,Table1[[#This Row],[CANTIDAD]]/[1]INFO2!$F$18*[1]INFO2!$E$18,))))))))))))))))),0)</f>
        <v>0</v>
      </c>
      <c r="Q29" s="100"/>
    </row>
    <row r="30" spans="1:17" ht="21" customHeight="1" thickBot="1" x14ac:dyDescent="0.3">
      <c r="C30" s="46"/>
      <c r="D30" s="46"/>
      <c r="E30" s="46"/>
      <c r="F30" s="46"/>
      <c r="G30" s="46"/>
      <c r="H30" s="46"/>
      <c r="K30" s="101" t="s">
        <v>17</v>
      </c>
      <c r="L30" s="102">
        <f>SUM(L13:L29)</f>
        <v>5320</v>
      </c>
      <c r="M30" s="103">
        <f>SUM(M13:M29)</f>
        <v>198.73737373737373</v>
      </c>
      <c r="N30" s="103"/>
      <c r="O30" s="101">
        <f>SUM(O13:O29)</f>
        <v>156.69999999999999</v>
      </c>
      <c r="P30" s="104">
        <f>SUM(P13:P29)</f>
        <v>3647</v>
      </c>
    </row>
    <row r="31" spans="1:17" ht="21" customHeight="1" x14ac:dyDescent="0.25">
      <c r="D31" s="46"/>
      <c r="E31" s="46"/>
      <c r="F31" s="46"/>
      <c r="G31" s="46"/>
      <c r="H31" s="46"/>
      <c r="O31" s="42"/>
      <c r="P31" s="42"/>
    </row>
    <row r="32" spans="1:17" ht="21" customHeight="1" thickBot="1" x14ac:dyDescent="0.3">
      <c r="O32" s="42"/>
      <c r="P32" s="42"/>
    </row>
    <row r="33" spans="1:16" ht="21" customHeight="1" x14ac:dyDescent="0.25">
      <c r="A33" s="121" t="s">
        <v>7</v>
      </c>
      <c r="B33" s="122"/>
      <c r="C33" s="122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6"/>
      <c r="P33" s="107"/>
    </row>
    <row r="34" spans="1:16" ht="21" customHeight="1" x14ac:dyDescent="0.25">
      <c r="A34" s="108"/>
      <c r="B34" s="109"/>
      <c r="C34" s="109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  <c r="P34" s="107"/>
    </row>
    <row r="35" spans="1:16" ht="21" customHeight="1" x14ac:dyDescent="0.25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  <c r="P35" s="107"/>
    </row>
    <row r="36" spans="1:16" ht="21" customHeight="1" thickBot="1" x14ac:dyDescent="0.3">
      <c r="A36" s="113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  <c r="P36" s="107"/>
    </row>
    <row r="37" spans="1:16" ht="21" customHeight="1" x14ac:dyDescent="0.25">
      <c r="O37" s="116"/>
    </row>
    <row r="42" spans="1:16" ht="21" customHeight="1" thickBot="1" x14ac:dyDescent="0.3">
      <c r="E42" s="117"/>
      <c r="F42" s="117"/>
      <c r="G42" s="117"/>
      <c r="H42" s="117"/>
      <c r="I42" s="117"/>
    </row>
    <row r="43" spans="1:16" ht="21" customHeight="1" x14ac:dyDescent="0.25">
      <c r="F43" s="42" t="s">
        <v>129</v>
      </c>
    </row>
    <row r="45" spans="1:16" ht="21" customHeight="1" x14ac:dyDescent="0.25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18"/>
    </row>
    <row r="46" spans="1:16" ht="21" customHeight="1" x14ac:dyDescent="0.25">
      <c r="I46" s="38"/>
    </row>
  </sheetData>
  <mergeCells count="15">
    <mergeCell ref="A1:Q1"/>
    <mergeCell ref="A2:Q2"/>
    <mergeCell ref="A7:B7"/>
    <mergeCell ref="C7:D7"/>
    <mergeCell ref="F7:I7"/>
    <mergeCell ref="J7:K7"/>
    <mergeCell ref="M7:O7"/>
    <mergeCell ref="A33:C33"/>
    <mergeCell ref="A45:O45"/>
    <mergeCell ref="A8:B8"/>
    <mergeCell ref="C8:D8"/>
    <mergeCell ref="A9:B9"/>
    <mergeCell ref="D11:H11"/>
    <mergeCell ref="I11:K11"/>
    <mergeCell ref="L11:Q11"/>
  </mergeCells>
  <pageMargins left="0.7" right="0.7" top="0.75" bottom="0.75" header="0.3" footer="0.3"/>
  <pageSetup scale="47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selection activeCell="D10" sqref="D10"/>
    </sheetView>
  </sheetViews>
  <sheetFormatPr baseColWidth="10" defaultColWidth="10.88671875" defaultRowHeight="14.4" x14ac:dyDescent="0.3"/>
  <cols>
    <col min="1" max="1" width="16" customWidth="1"/>
    <col min="2" max="2" width="42.6640625" bestFit="1" customWidth="1"/>
    <col min="3" max="3" width="15" customWidth="1"/>
    <col min="4" max="4" width="12.33203125" bestFit="1" customWidth="1"/>
    <col min="5" max="5" width="15" customWidth="1"/>
    <col min="6" max="6" width="18.88671875" bestFit="1" customWidth="1"/>
    <col min="7" max="7" width="13.33203125" customWidth="1"/>
    <col min="8" max="8" width="15.109375" customWidth="1"/>
  </cols>
  <sheetData>
    <row r="1" spans="1:8" ht="15" thickBot="1" x14ac:dyDescent="0.35">
      <c r="A1" s="12" t="s">
        <v>9</v>
      </c>
      <c r="B1" s="11" t="s">
        <v>6</v>
      </c>
      <c r="C1" s="13" t="s">
        <v>11</v>
      </c>
      <c r="D1" s="11" t="s">
        <v>95</v>
      </c>
      <c r="E1" s="1" t="s">
        <v>97</v>
      </c>
      <c r="F1" s="1" t="s">
        <v>10</v>
      </c>
      <c r="G1" s="1" t="s">
        <v>5</v>
      </c>
      <c r="H1" s="1" t="s">
        <v>24</v>
      </c>
    </row>
    <row r="2" spans="1:8" x14ac:dyDescent="0.3">
      <c r="A2" s="4" t="s">
        <v>78</v>
      </c>
      <c r="B2" s="5" t="s">
        <v>79</v>
      </c>
      <c r="C2" s="15">
        <v>40</v>
      </c>
      <c r="D2" s="16">
        <v>150</v>
      </c>
      <c r="E2" s="9">
        <v>10</v>
      </c>
      <c r="F2" s="22" t="s">
        <v>19</v>
      </c>
      <c r="G2" s="23">
        <v>1</v>
      </c>
      <c r="H2" s="24" t="s">
        <v>25</v>
      </c>
    </row>
    <row r="3" spans="1:8" x14ac:dyDescent="0.3">
      <c r="A3" s="6" t="s">
        <v>28</v>
      </c>
      <c r="B3" s="2" t="s">
        <v>29</v>
      </c>
      <c r="C3" s="3">
        <v>20</v>
      </c>
      <c r="D3" s="14">
        <v>300</v>
      </c>
      <c r="E3" s="10">
        <v>5</v>
      </c>
      <c r="F3" s="25" t="s">
        <v>20</v>
      </c>
      <c r="G3" s="21">
        <v>2</v>
      </c>
      <c r="H3" s="26" t="s">
        <v>26</v>
      </c>
    </row>
    <row r="4" spans="1:8" x14ac:dyDescent="0.3">
      <c r="A4" s="6" t="s">
        <v>30</v>
      </c>
      <c r="B4" s="2" t="s">
        <v>31</v>
      </c>
      <c r="C4" s="3">
        <v>40</v>
      </c>
      <c r="D4" s="14">
        <v>200</v>
      </c>
      <c r="E4" s="10">
        <v>10</v>
      </c>
      <c r="F4" s="25" t="s">
        <v>18</v>
      </c>
      <c r="G4" s="21" t="s">
        <v>77</v>
      </c>
      <c r="H4" s="26" t="s">
        <v>27</v>
      </c>
    </row>
    <row r="5" spans="1:8" ht="15" thickBot="1" x14ac:dyDescent="0.35">
      <c r="A5" s="6" t="s">
        <v>32</v>
      </c>
      <c r="B5" s="2" t="s">
        <v>33</v>
      </c>
      <c r="C5" s="3">
        <v>20</v>
      </c>
      <c r="D5" s="14">
        <v>400</v>
      </c>
      <c r="E5" s="10">
        <v>5</v>
      </c>
      <c r="F5" s="27" t="s">
        <v>68</v>
      </c>
      <c r="G5" s="28"/>
      <c r="H5" s="29"/>
    </row>
    <row r="6" spans="1:8" x14ac:dyDescent="0.3">
      <c r="A6" s="6" t="s">
        <v>34</v>
      </c>
      <c r="B6" s="2" t="s">
        <v>35</v>
      </c>
      <c r="C6" s="3">
        <v>38.5</v>
      </c>
      <c r="D6" s="14">
        <v>160</v>
      </c>
      <c r="E6" s="17">
        <v>10</v>
      </c>
    </row>
    <row r="7" spans="1:8" x14ac:dyDescent="0.3">
      <c r="A7" s="6" t="s">
        <v>36</v>
      </c>
      <c r="B7" s="2" t="s">
        <v>37</v>
      </c>
      <c r="C7" s="3">
        <v>19.2</v>
      </c>
      <c r="D7" s="14">
        <v>320</v>
      </c>
      <c r="E7" s="17">
        <v>5</v>
      </c>
    </row>
    <row r="8" spans="1:8" x14ac:dyDescent="0.3">
      <c r="A8" s="6" t="s">
        <v>38</v>
      </c>
      <c r="B8" s="2" t="s">
        <v>39</v>
      </c>
      <c r="C8" s="3">
        <v>38.5</v>
      </c>
      <c r="D8" s="14">
        <v>200</v>
      </c>
      <c r="E8" s="17">
        <v>10</v>
      </c>
    </row>
    <row r="9" spans="1:8" x14ac:dyDescent="0.3">
      <c r="A9" s="6" t="s">
        <v>40</v>
      </c>
      <c r="B9" s="2" t="s">
        <v>41</v>
      </c>
      <c r="C9" s="3">
        <v>19.2</v>
      </c>
      <c r="D9" s="14">
        <v>400</v>
      </c>
      <c r="E9" s="17">
        <v>5</v>
      </c>
      <c r="F9" t="s">
        <v>92</v>
      </c>
    </row>
    <row r="10" spans="1:8" x14ac:dyDescent="0.3">
      <c r="A10" s="6" t="s">
        <v>102</v>
      </c>
      <c r="B10" s="2" t="s">
        <v>104</v>
      </c>
      <c r="C10" s="3">
        <v>6.6</v>
      </c>
      <c r="D10" s="14">
        <v>50</v>
      </c>
      <c r="E10" s="17">
        <v>2</v>
      </c>
    </row>
    <row r="11" spans="1:8" x14ac:dyDescent="0.3">
      <c r="A11" s="6" t="s">
        <v>103</v>
      </c>
      <c r="B11" s="2" t="s">
        <v>105</v>
      </c>
      <c r="C11" s="3">
        <v>6.6</v>
      </c>
      <c r="D11" s="14">
        <v>50</v>
      </c>
      <c r="E11" s="17">
        <v>2</v>
      </c>
    </row>
    <row r="12" spans="1:8" x14ac:dyDescent="0.3">
      <c r="A12" s="6" t="s">
        <v>82</v>
      </c>
      <c r="B12" s="2" t="s">
        <v>83</v>
      </c>
      <c r="C12" s="3">
        <f>1.75*2.2*3</f>
        <v>11.55</v>
      </c>
      <c r="D12" s="14">
        <v>100</v>
      </c>
      <c r="E12" s="17">
        <v>3</v>
      </c>
    </row>
    <row r="13" spans="1:8" x14ac:dyDescent="0.3">
      <c r="A13" s="6" t="s">
        <v>84</v>
      </c>
      <c r="B13" s="2" t="s">
        <v>85</v>
      </c>
      <c r="C13" s="3">
        <f>1.75*2.2*3</f>
        <v>11.55</v>
      </c>
      <c r="D13" s="14">
        <v>100</v>
      </c>
      <c r="E13" s="17">
        <v>3</v>
      </c>
    </row>
    <row r="14" spans="1:8" x14ac:dyDescent="0.3">
      <c r="A14" s="6" t="s">
        <v>42</v>
      </c>
      <c r="B14" s="2" t="s">
        <v>43</v>
      </c>
      <c r="C14" s="3">
        <v>33</v>
      </c>
      <c r="D14" s="14">
        <v>180</v>
      </c>
      <c r="E14" s="17">
        <v>10</v>
      </c>
    </row>
    <row r="15" spans="1:8" x14ac:dyDescent="0.3">
      <c r="A15" s="6" t="s">
        <v>44</v>
      </c>
      <c r="B15" s="2" t="s">
        <v>45</v>
      </c>
      <c r="C15" s="3">
        <v>16.5</v>
      </c>
      <c r="D15" s="14">
        <v>360</v>
      </c>
      <c r="E15" s="17">
        <v>5</v>
      </c>
    </row>
    <row r="16" spans="1:8" x14ac:dyDescent="0.3">
      <c r="A16" s="6" t="s">
        <v>46</v>
      </c>
      <c r="B16" s="2" t="s">
        <v>47</v>
      </c>
      <c r="C16" s="3">
        <v>33</v>
      </c>
      <c r="D16" s="14">
        <v>220</v>
      </c>
      <c r="E16" s="17">
        <v>10</v>
      </c>
    </row>
    <row r="17" spans="1:5" x14ac:dyDescent="0.3">
      <c r="A17" s="6" t="s">
        <v>48</v>
      </c>
      <c r="B17" s="2" t="s">
        <v>49</v>
      </c>
      <c r="C17" s="3">
        <v>16.5</v>
      </c>
      <c r="D17" s="14">
        <v>440</v>
      </c>
      <c r="E17" s="17">
        <v>5</v>
      </c>
    </row>
    <row r="18" spans="1:5" x14ac:dyDescent="0.3">
      <c r="A18" s="6" t="s">
        <v>71</v>
      </c>
      <c r="B18" s="2" t="s">
        <v>70</v>
      </c>
      <c r="C18" s="3">
        <v>16.5</v>
      </c>
      <c r="D18" s="14">
        <v>180</v>
      </c>
      <c r="E18" s="17">
        <v>5</v>
      </c>
    </row>
    <row r="19" spans="1:5" x14ac:dyDescent="0.3">
      <c r="A19" s="6" t="s">
        <v>72</v>
      </c>
      <c r="B19" s="2" t="s">
        <v>69</v>
      </c>
      <c r="C19" s="3">
        <v>16.5</v>
      </c>
      <c r="D19" s="14">
        <v>360</v>
      </c>
      <c r="E19" s="17">
        <v>5</v>
      </c>
    </row>
    <row r="20" spans="1:5" x14ac:dyDescent="0.3">
      <c r="A20" s="6" t="s">
        <v>100</v>
      </c>
      <c r="B20" s="2" t="s">
        <v>101</v>
      </c>
      <c r="C20" s="3">
        <v>16.5</v>
      </c>
      <c r="D20" s="14">
        <v>360</v>
      </c>
      <c r="E20" s="17">
        <v>5</v>
      </c>
    </row>
    <row r="21" spans="1:5" x14ac:dyDescent="0.3">
      <c r="A21" s="6" t="s">
        <v>50</v>
      </c>
      <c r="B21" s="2" t="s">
        <v>51</v>
      </c>
      <c r="C21" s="3">
        <v>25</v>
      </c>
      <c r="D21" s="14">
        <v>140</v>
      </c>
      <c r="E21" s="17">
        <v>25</v>
      </c>
    </row>
    <row r="22" spans="1:5" x14ac:dyDescent="0.3">
      <c r="A22" s="6" t="s">
        <v>52</v>
      </c>
      <c r="B22" s="2" t="s">
        <v>53</v>
      </c>
      <c r="C22" s="3">
        <v>25</v>
      </c>
      <c r="D22" s="14">
        <v>140</v>
      </c>
      <c r="E22" s="17">
        <v>25</v>
      </c>
    </row>
    <row r="23" spans="1:5" x14ac:dyDescent="0.3">
      <c r="A23" s="6" t="s">
        <v>54</v>
      </c>
      <c r="B23" s="2" t="s">
        <v>55</v>
      </c>
      <c r="C23" s="3">
        <v>25</v>
      </c>
      <c r="D23" s="14">
        <v>140</v>
      </c>
      <c r="E23" s="17">
        <v>25</v>
      </c>
    </row>
    <row r="24" spans="1:5" x14ac:dyDescent="0.3">
      <c r="A24" s="6" t="s">
        <v>80</v>
      </c>
      <c r="B24" s="2" t="s">
        <v>81</v>
      </c>
      <c r="C24" s="3">
        <v>20</v>
      </c>
      <c r="D24" s="14">
        <v>100</v>
      </c>
      <c r="E24" s="17">
        <v>20</v>
      </c>
    </row>
    <row r="25" spans="1:5" x14ac:dyDescent="0.3">
      <c r="A25" s="6" t="s">
        <v>86</v>
      </c>
      <c r="B25" s="2" t="s">
        <v>87</v>
      </c>
      <c r="C25" s="3">
        <v>20</v>
      </c>
      <c r="D25" s="14">
        <v>100</v>
      </c>
      <c r="E25" s="17">
        <v>20</v>
      </c>
    </row>
    <row r="26" spans="1:5" x14ac:dyDescent="0.3">
      <c r="A26" s="6" t="s">
        <v>88</v>
      </c>
      <c r="B26" s="2" t="s">
        <v>89</v>
      </c>
      <c r="C26" s="3">
        <v>20</v>
      </c>
      <c r="D26" s="14">
        <v>100</v>
      </c>
      <c r="E26" s="17">
        <v>20</v>
      </c>
    </row>
    <row r="27" spans="1:5" x14ac:dyDescent="0.3">
      <c r="A27" s="6" t="s">
        <v>90</v>
      </c>
      <c r="B27" s="2" t="s">
        <v>91</v>
      </c>
      <c r="C27" s="3">
        <v>25</v>
      </c>
      <c r="D27" s="14">
        <v>100</v>
      </c>
      <c r="E27" s="17">
        <v>25</v>
      </c>
    </row>
    <row r="28" spans="1:5" x14ac:dyDescent="0.3">
      <c r="A28" s="6" t="s">
        <v>56</v>
      </c>
      <c r="B28" s="2" t="s">
        <v>57</v>
      </c>
      <c r="C28" s="3">
        <v>19.2</v>
      </c>
      <c r="D28" s="14">
        <v>140</v>
      </c>
      <c r="E28" s="17">
        <v>25</v>
      </c>
    </row>
    <row r="29" spans="1:5" x14ac:dyDescent="0.3">
      <c r="A29" s="6" t="s">
        <v>58</v>
      </c>
      <c r="B29" s="2" t="s">
        <v>59</v>
      </c>
      <c r="C29" s="3">
        <v>19.2</v>
      </c>
      <c r="D29" s="14">
        <v>140</v>
      </c>
      <c r="E29" s="17">
        <v>25</v>
      </c>
    </row>
    <row r="30" spans="1:5" x14ac:dyDescent="0.3">
      <c r="A30" s="6" t="s">
        <v>60</v>
      </c>
      <c r="B30" s="2" t="s">
        <v>61</v>
      </c>
      <c r="C30" s="3">
        <v>19.2</v>
      </c>
      <c r="D30" s="14">
        <v>140</v>
      </c>
      <c r="E30" s="17">
        <v>25</v>
      </c>
    </row>
    <row r="31" spans="1:5" x14ac:dyDescent="0.3">
      <c r="A31" s="6" t="s">
        <v>62</v>
      </c>
      <c r="B31" s="2" t="s">
        <v>63</v>
      </c>
      <c r="C31" s="3">
        <v>16.5</v>
      </c>
      <c r="D31" s="14">
        <v>140</v>
      </c>
      <c r="E31" s="17">
        <v>25</v>
      </c>
    </row>
    <row r="32" spans="1:5" x14ac:dyDescent="0.3">
      <c r="A32" s="6" t="s">
        <v>73</v>
      </c>
      <c r="B32" s="2" t="s">
        <v>75</v>
      </c>
      <c r="C32" s="3">
        <v>16.5</v>
      </c>
      <c r="D32" s="14">
        <v>140</v>
      </c>
      <c r="E32" s="17">
        <v>25</v>
      </c>
    </row>
    <row r="33" spans="1:5" x14ac:dyDescent="0.3">
      <c r="A33" s="6" t="s">
        <v>74</v>
      </c>
      <c r="B33" s="2" t="s">
        <v>76</v>
      </c>
      <c r="C33" s="3">
        <v>16.5</v>
      </c>
      <c r="D33" s="14">
        <v>140</v>
      </c>
      <c r="E33" s="17">
        <v>25</v>
      </c>
    </row>
    <row r="34" spans="1:5" x14ac:dyDescent="0.3">
      <c r="A34" s="6" t="s">
        <v>64</v>
      </c>
      <c r="B34" s="2" t="s">
        <v>65</v>
      </c>
      <c r="C34" s="3">
        <v>19.2</v>
      </c>
      <c r="D34" s="14">
        <v>60</v>
      </c>
      <c r="E34" s="17">
        <v>50</v>
      </c>
    </row>
    <row r="35" spans="1:5" ht="15" thickBot="1" x14ac:dyDescent="0.35">
      <c r="A35" s="7" t="s">
        <v>66</v>
      </c>
      <c r="B35" s="8" t="s">
        <v>67</v>
      </c>
      <c r="C35" s="18">
        <v>19.2</v>
      </c>
      <c r="D35" s="19">
        <v>60</v>
      </c>
      <c r="E35" s="20">
        <v>50</v>
      </c>
    </row>
  </sheetData>
  <phoneticPr fontId="8" type="noConversion"/>
  <pageMargins left="0.7" right="0.7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E111-7DFA-4A9B-9A21-4F39314B7511}">
  <dimension ref="A1:I18"/>
  <sheetViews>
    <sheetView workbookViewId="0">
      <selection activeCell="F2" sqref="F2"/>
    </sheetView>
  </sheetViews>
  <sheetFormatPr baseColWidth="10" defaultColWidth="10.88671875" defaultRowHeight="14.4" x14ac:dyDescent="0.3"/>
  <cols>
    <col min="1" max="1" width="16" customWidth="1"/>
    <col min="2" max="2" width="46.109375" bestFit="1" customWidth="1"/>
    <col min="3" max="3" width="15" customWidth="1"/>
    <col min="4" max="4" width="13.109375" customWidth="1"/>
    <col min="5" max="5" width="16.44140625" customWidth="1"/>
    <col min="6" max="6" width="15" customWidth="1"/>
    <col min="7" max="7" width="19" customWidth="1"/>
    <col min="8" max="8" width="13.33203125" customWidth="1"/>
    <col min="9" max="9" width="15.109375" customWidth="1"/>
  </cols>
  <sheetData>
    <row r="1" spans="1:9" ht="15" thickBot="1" x14ac:dyDescent="0.35">
      <c r="A1" s="30" t="s">
        <v>9</v>
      </c>
      <c r="B1" s="11" t="s">
        <v>6</v>
      </c>
      <c r="C1" s="13" t="s">
        <v>11</v>
      </c>
      <c r="D1" s="11" t="s">
        <v>114</v>
      </c>
      <c r="E1" s="1" t="s">
        <v>97</v>
      </c>
      <c r="F1" s="1" t="s">
        <v>115</v>
      </c>
      <c r="G1" s="1" t="s">
        <v>10</v>
      </c>
      <c r="H1" s="1" t="s">
        <v>5</v>
      </c>
      <c r="I1" s="1" t="s">
        <v>24</v>
      </c>
    </row>
    <row r="2" spans="1:9" x14ac:dyDescent="0.3">
      <c r="A2" s="31" t="s">
        <v>78</v>
      </c>
      <c r="B2" s="32" t="s">
        <v>79</v>
      </c>
      <c r="C2" s="15">
        <v>40</v>
      </c>
      <c r="D2" s="16">
        <v>240</v>
      </c>
      <c r="E2" s="9">
        <v>10</v>
      </c>
      <c r="F2" s="3">
        <v>50</v>
      </c>
      <c r="G2" s="33" t="s">
        <v>19</v>
      </c>
      <c r="H2" s="23">
        <v>1</v>
      </c>
      <c r="I2" s="24" t="s">
        <v>25</v>
      </c>
    </row>
    <row r="3" spans="1:9" x14ac:dyDescent="0.3">
      <c r="A3" s="34" t="s">
        <v>30</v>
      </c>
      <c r="B3" s="35" t="s">
        <v>31</v>
      </c>
      <c r="C3" s="3">
        <v>40</v>
      </c>
      <c r="D3" s="14">
        <v>240</v>
      </c>
      <c r="E3" s="10">
        <v>10</v>
      </c>
      <c r="F3" s="3">
        <v>50</v>
      </c>
      <c r="G3" s="36" t="s">
        <v>20</v>
      </c>
      <c r="H3" s="21">
        <v>2</v>
      </c>
      <c r="I3" s="26" t="s">
        <v>26</v>
      </c>
    </row>
    <row r="4" spans="1:9" x14ac:dyDescent="0.3">
      <c r="A4" s="31" t="s">
        <v>34</v>
      </c>
      <c r="B4" s="32" t="s">
        <v>35</v>
      </c>
      <c r="C4" s="3">
        <v>38.5</v>
      </c>
      <c r="D4" s="14">
        <v>240</v>
      </c>
      <c r="E4" s="10">
        <v>10</v>
      </c>
      <c r="F4" s="3">
        <v>51</v>
      </c>
      <c r="G4" s="36" t="s">
        <v>18</v>
      </c>
      <c r="H4" s="21">
        <v>3</v>
      </c>
      <c r="I4" s="26" t="s">
        <v>27</v>
      </c>
    </row>
    <row r="5" spans="1:9" ht="15" thickBot="1" x14ac:dyDescent="0.35">
      <c r="A5" s="34" t="s">
        <v>38</v>
      </c>
      <c r="B5" s="35" t="s">
        <v>39</v>
      </c>
      <c r="C5" s="3">
        <v>38.5</v>
      </c>
      <c r="D5" s="14">
        <v>240</v>
      </c>
      <c r="E5" s="10">
        <v>10</v>
      </c>
      <c r="F5" s="3">
        <v>51</v>
      </c>
      <c r="G5" s="37" t="s">
        <v>68</v>
      </c>
      <c r="H5" s="28"/>
      <c r="I5" s="29"/>
    </row>
    <row r="6" spans="1:9" x14ac:dyDescent="0.3">
      <c r="A6" s="31" t="s">
        <v>42</v>
      </c>
      <c r="B6" s="32" t="s">
        <v>43</v>
      </c>
      <c r="C6" s="3">
        <v>33</v>
      </c>
      <c r="D6" s="14">
        <v>240</v>
      </c>
      <c r="E6" s="10">
        <v>10</v>
      </c>
      <c r="F6" s="3">
        <v>56</v>
      </c>
    </row>
    <row r="7" spans="1:9" x14ac:dyDescent="0.3">
      <c r="A7" s="34" t="s">
        <v>46</v>
      </c>
      <c r="B7" s="35" t="s">
        <v>47</v>
      </c>
      <c r="C7" s="3">
        <v>33</v>
      </c>
      <c r="D7" s="14">
        <v>240</v>
      </c>
      <c r="E7" s="10">
        <v>10</v>
      </c>
      <c r="F7" s="3">
        <v>56</v>
      </c>
    </row>
    <row r="8" spans="1:9" x14ac:dyDescent="0.3">
      <c r="A8" s="31" t="s">
        <v>116</v>
      </c>
      <c r="B8" s="32" t="s">
        <v>113</v>
      </c>
      <c r="C8" s="3">
        <v>33</v>
      </c>
      <c r="D8" s="14">
        <v>240</v>
      </c>
      <c r="E8" s="10">
        <v>10</v>
      </c>
      <c r="F8" s="3">
        <v>56</v>
      </c>
    </row>
    <row r="9" spans="1:9" x14ac:dyDescent="0.3">
      <c r="A9" s="34" t="s">
        <v>117</v>
      </c>
      <c r="B9" s="35" t="s">
        <v>110</v>
      </c>
      <c r="C9" s="3">
        <v>33</v>
      </c>
      <c r="D9" s="14">
        <v>240</v>
      </c>
      <c r="E9" s="10">
        <v>10</v>
      </c>
      <c r="F9" s="3">
        <v>56</v>
      </c>
      <c r="G9" t="s">
        <v>92</v>
      </c>
    </row>
    <row r="10" spans="1:9" x14ac:dyDescent="0.3">
      <c r="A10" s="31" t="s">
        <v>52</v>
      </c>
      <c r="B10" s="32" t="s">
        <v>53</v>
      </c>
      <c r="C10" s="3">
        <v>25</v>
      </c>
      <c r="D10" s="14">
        <v>240</v>
      </c>
      <c r="E10" s="10">
        <v>25</v>
      </c>
      <c r="F10" s="3">
        <v>125</v>
      </c>
    </row>
    <row r="11" spans="1:9" x14ac:dyDescent="0.3">
      <c r="A11" s="34" t="s">
        <v>80</v>
      </c>
      <c r="B11" s="35" t="s">
        <v>81</v>
      </c>
      <c r="C11" s="3">
        <v>20</v>
      </c>
      <c r="D11" s="14">
        <v>300</v>
      </c>
      <c r="E11" s="10">
        <v>20</v>
      </c>
      <c r="F11" s="3">
        <v>125</v>
      </c>
    </row>
    <row r="12" spans="1:9" x14ac:dyDescent="0.3">
      <c r="A12" s="31" t="s">
        <v>90</v>
      </c>
      <c r="B12" s="32" t="s">
        <v>91</v>
      </c>
      <c r="C12" s="3">
        <v>25</v>
      </c>
      <c r="D12" s="14">
        <v>240</v>
      </c>
      <c r="E12" s="10">
        <v>25</v>
      </c>
      <c r="F12" s="3">
        <v>125</v>
      </c>
    </row>
    <row r="13" spans="1:9" x14ac:dyDescent="0.3">
      <c r="A13" s="34" t="s">
        <v>118</v>
      </c>
      <c r="B13" s="35" t="s">
        <v>112</v>
      </c>
      <c r="C13" s="3">
        <v>20</v>
      </c>
      <c r="D13" s="14">
        <v>300</v>
      </c>
      <c r="E13" s="10">
        <v>20</v>
      </c>
      <c r="F13" s="3">
        <v>125</v>
      </c>
    </row>
    <row r="14" spans="1:9" x14ac:dyDescent="0.3">
      <c r="A14" s="31" t="s">
        <v>56</v>
      </c>
      <c r="B14" s="32" t="s">
        <v>57</v>
      </c>
      <c r="C14" s="3">
        <v>19.2</v>
      </c>
      <c r="D14" s="14">
        <v>240</v>
      </c>
      <c r="E14" s="10">
        <v>25</v>
      </c>
      <c r="F14" s="3">
        <v>151</v>
      </c>
    </row>
    <row r="15" spans="1:9" x14ac:dyDescent="0.3">
      <c r="A15" s="34" t="s">
        <v>58</v>
      </c>
      <c r="B15" s="35" t="s">
        <v>59</v>
      </c>
      <c r="C15" s="3">
        <v>19.2</v>
      </c>
      <c r="D15" s="14">
        <v>240</v>
      </c>
      <c r="E15" s="10">
        <v>25</v>
      </c>
      <c r="F15" s="3">
        <v>151</v>
      </c>
    </row>
    <row r="16" spans="1:9" x14ac:dyDescent="0.3">
      <c r="A16" s="31" t="s">
        <v>119</v>
      </c>
      <c r="B16" s="32" t="s">
        <v>120</v>
      </c>
      <c r="C16" s="3">
        <v>19.2</v>
      </c>
      <c r="D16" s="14">
        <v>240</v>
      </c>
      <c r="E16" s="10">
        <v>25</v>
      </c>
      <c r="F16" s="3">
        <v>151</v>
      </c>
    </row>
    <row r="17" spans="1:6" x14ac:dyDescent="0.3">
      <c r="A17" s="34" t="s">
        <v>64</v>
      </c>
      <c r="B17" s="35" t="s">
        <v>65</v>
      </c>
      <c r="C17" s="3">
        <v>16.5</v>
      </c>
      <c r="D17" s="14">
        <v>120</v>
      </c>
      <c r="E17" s="10">
        <v>50</v>
      </c>
      <c r="F17" s="3">
        <v>231</v>
      </c>
    </row>
    <row r="18" spans="1:6" x14ac:dyDescent="0.3">
      <c r="A18" s="31" t="s">
        <v>66</v>
      </c>
      <c r="B18" s="32" t="s">
        <v>67</v>
      </c>
      <c r="C18" s="3">
        <v>16.5</v>
      </c>
      <c r="D18" s="14">
        <v>60</v>
      </c>
      <c r="E18" s="10">
        <v>50</v>
      </c>
      <c r="F18" s="3">
        <v>231</v>
      </c>
    </row>
  </sheetData>
  <pageMargins left="0.7" right="0.7" top="0.75" bottom="0.75" header="0.3" footer="0.3"/>
  <pageSetup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V03</vt:lpstr>
      <vt:lpstr>INFO2</vt:lpstr>
      <vt:lpstr>INFO2 (2)</vt:lpstr>
      <vt:lpstr>'V03'!Área_de_impresión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walter.andrade</dc:creator>
  <cp:lastModifiedBy>Alejandra  Murillo</cp:lastModifiedBy>
  <cp:lastPrinted>2025-01-09T17:15:20Z</cp:lastPrinted>
  <dcterms:created xsi:type="dcterms:W3CDTF">2014-02-26T20:23:51Z</dcterms:created>
  <dcterms:modified xsi:type="dcterms:W3CDTF">2025-01-09T17:16:09Z</dcterms:modified>
  <cp:contentStatus/>
</cp:coreProperties>
</file>