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checkCompatibility="1" autoCompressPictures="0"/>
  <mc:AlternateContent xmlns:mc="http://schemas.openxmlformats.org/markup-compatibility/2006">
    <mc:Choice Requires="x15">
      <x15ac:absPath xmlns:x15ac="http://schemas.microsoft.com/office/spreadsheetml/2010/11/ac" url="\\192.168.10.5\cumplimiento\SGIA- Documentos PLanta Arroz\Actualizado Producción Arroz\Formato actual\"/>
    </mc:Choice>
  </mc:AlternateContent>
  <xr:revisionPtr revIDLastSave="0" documentId="13_ncr:1_{6E26F3C4-7049-49E7-9815-2DB7B0DEC9C6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v03" sheetId="411" r:id="rId1"/>
    <sheet name="INFO" sheetId="2" r:id="rId2"/>
    <sheet name="INFO (2)" sheetId="412" r:id="rId3"/>
    <sheet name="BALANCE" sheetId="413" r:id="rId4"/>
  </sheets>
  <externalReferences>
    <externalReference r:id="rId5"/>
  </externalReferences>
  <definedNames>
    <definedName name="_xlnm.Print_Area" localSheetId="0">'v03'!$A$1:$R$42</definedName>
  </definedNames>
  <calcPr calcId="191029"/>
  <customWorkbookViews>
    <customWorkbookView name="Microsoft Office User - Personal View" guid="{2ACB5BA0-7BC2-644B-830F-E4BD72611AEC}" mergeInterval="0" personalView="1" windowWidth="1319" windowHeight="515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2" i="413" l="1"/>
  <c r="B12" i="413"/>
  <c r="D12" i="413" s="1"/>
  <c r="D11" i="413"/>
  <c r="B8" i="413"/>
  <c r="B5" i="413"/>
  <c r="B6" i="413" s="1"/>
  <c r="B15" i="411"/>
  <c r="B16" i="411" s="1"/>
  <c r="B17" i="411" s="1"/>
  <c r="B18" i="411" s="1"/>
  <c r="B19" i="411" s="1"/>
  <c r="B20" i="411" s="1"/>
  <c r="B21" i="411" s="1"/>
  <c r="B22" i="411" s="1"/>
  <c r="B23" i="411" s="1"/>
  <c r="B24" i="411" s="1"/>
  <c r="B25" i="411" s="1"/>
  <c r="B26" i="411" s="1"/>
  <c r="B27" i="411" s="1"/>
  <c r="P9" i="411"/>
  <c r="E12" i="413" l="1"/>
  <c r="N28" i="411"/>
  <c r="F36" i="411" s="1"/>
  <c r="Q28" i="411" l="1"/>
  <c r="P28" i="4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12" authorId="0" shapeId="0" xr:uid="{4E48E807-DF1F-4A99-AF2B-55262887EC9B}">
      <text>
        <r>
          <rPr>
            <b/>
            <sz val="10"/>
            <color rgb="FF000000"/>
            <rFont val="Calibri"/>
            <family val="2"/>
          </rPr>
          <t xml:space="preserve">INDICACIONES PARA LLENAR: 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INDICAR PARAMETROS DE ENTERO Y PULIDO.
</t>
        </r>
      </text>
    </comment>
    <comment ref="D13" authorId="0" shapeId="0" xr:uid="{22FA1EC2-092F-43AE-9146-7C9C9C7F4E61}">
      <text>
        <r>
          <rPr>
            <b/>
            <sz val="10"/>
            <color indexed="81"/>
            <rFont val="Calibri"/>
            <family val="2"/>
          </rPr>
          <t xml:space="preserve">INDICACIONES PARA LLENAR:
</t>
        </r>
        <r>
          <rPr>
            <sz val="10"/>
            <color indexed="81"/>
            <rFont val="Calibri"/>
            <family val="2"/>
          </rPr>
          <t xml:space="preserve">SELECCIONAR EL PRODUCTO DE LA LISTA.
</t>
        </r>
      </text>
    </comment>
    <comment ref="K13" authorId="0" shapeId="0" xr:uid="{A755AE8C-C4DC-4E0D-9BAB-3567B9D81807}">
      <text>
        <r>
          <rPr>
            <b/>
            <sz val="10"/>
            <color rgb="FF000000"/>
            <rFont val="Calibri"/>
            <family val="2"/>
          </rPr>
          <t xml:space="preserve">INDICACIONES DE LLENADO:
</t>
        </r>
        <r>
          <rPr>
            <b/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SELECCIONAR EL SILO.</t>
        </r>
      </text>
    </comment>
    <comment ref="L13" authorId="0" shapeId="0" xr:uid="{F01A30E3-9C63-445B-A6DD-326B9CF3C7F8}">
      <text>
        <r>
          <rPr>
            <b/>
            <sz val="10"/>
            <color indexed="81"/>
            <rFont val="Calibri"/>
            <family val="2"/>
          </rPr>
          <t xml:space="preserve">INDICACIONES DE LLENADO:
</t>
        </r>
        <r>
          <rPr>
            <sz val="10"/>
            <color indexed="81"/>
            <rFont val="Calibri"/>
            <family val="2"/>
          </rPr>
          <t>INDICAR EL CLIENTE.</t>
        </r>
      </text>
    </comment>
    <comment ref="M13" authorId="0" shapeId="0" xr:uid="{D0D14607-ED28-416F-A4B4-6B17A3159365}">
      <text>
        <r>
          <rPr>
            <b/>
            <sz val="10"/>
            <color rgb="FF000000"/>
            <rFont val="Calibri"/>
            <family val="2"/>
          </rPr>
          <t>INDICACIONES DE LLENADO: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COLOCAR LA CANTIDAD PROGRAMADA</t>
        </r>
      </text>
    </comment>
  </commentList>
</comments>
</file>

<file path=xl/sharedStrings.xml><?xml version="1.0" encoding="utf-8"?>
<sst xmlns="http://schemas.openxmlformats.org/spreadsheetml/2006/main" count="172" uniqueCount="122">
  <si>
    <t>FECHA:</t>
  </si>
  <si>
    <t>ITEM</t>
  </si>
  <si>
    <t>CLIENTE</t>
  </si>
  <si>
    <t>CANTIDAD</t>
  </si>
  <si>
    <t>PARAMETROS</t>
  </si>
  <si>
    <t>ENTERO</t>
  </si>
  <si>
    <t>DESCRIPCION DEL PRODUCTO</t>
  </si>
  <si>
    <t>OTRAS OBSERVACIONES:</t>
  </si>
  <si>
    <t>SACOS Y SAQUITOS</t>
  </si>
  <si>
    <t>NO. ORDEN</t>
  </si>
  <si>
    <t>CODIGO</t>
  </si>
  <si>
    <t>UNIDAD DE MEDIDA</t>
  </si>
  <si>
    <t>PESO</t>
  </si>
  <si>
    <t>TARIMAS</t>
  </si>
  <si>
    <t>HORAS</t>
  </si>
  <si>
    <t>CANTIDAD TOTAL  QQ  POR TURNO</t>
  </si>
  <si>
    <t>QQ</t>
  </si>
  <si>
    <t>DETALLE DE PRODUCCION</t>
  </si>
  <si>
    <t>INFORMATIVO</t>
  </si>
  <si>
    <t>TOTAL</t>
  </si>
  <si>
    <t>OTRO</t>
  </si>
  <si>
    <t>QUINTAL</t>
  </si>
  <si>
    <t>SAQUITO</t>
  </si>
  <si>
    <t>PESO (LBS)</t>
  </si>
  <si>
    <t>Molino</t>
  </si>
  <si>
    <t>QQ/HR</t>
  </si>
  <si>
    <t>QQ/TARIMA</t>
  </si>
  <si>
    <t>PT-100-002</t>
  </si>
  <si>
    <t>PT-100-003</t>
  </si>
  <si>
    <t>PT-100-004</t>
  </si>
  <si>
    <t>PT-100-005</t>
  </si>
  <si>
    <t>PT-100-006</t>
  </si>
  <si>
    <t>PT-101-002</t>
  </si>
  <si>
    <t>PT-101-003</t>
  </si>
  <si>
    <t>PT-101-004</t>
  </si>
  <si>
    <t>PT-101-005</t>
  </si>
  <si>
    <t>PT-101-006</t>
  </si>
  <si>
    <t>PT-101-007</t>
  </si>
  <si>
    <t>ARROZ BAMBI AZUL QUINTAL 100 LBS</t>
  </si>
  <si>
    <t>ARROZ MR. DIECK ESCALDADO QUINTAL 100 LBS</t>
  </si>
  <si>
    <t>ARROZ MANHATTAN ORO QUINTAL 100 LBS</t>
  </si>
  <si>
    <t>ARROZ BAMBINO ESCALDADO QUINTAL 100 LBS</t>
  </si>
  <si>
    <t>ARROZ BAMBI AZUL SAQUITO 25 LBS</t>
  </si>
  <si>
    <t>ARROZ MR. DIECK ESCALDADO 25 LBS</t>
  </si>
  <si>
    <t>ARROZ MR. DIECK BLANCO 25 LBS</t>
  </si>
  <si>
    <t>ARROZ BLANCO LOUISIANA CLASIFICADO 20 LBS</t>
  </si>
  <si>
    <t>PT-111-001</t>
  </si>
  <si>
    <t>PT-111-006</t>
  </si>
  <si>
    <t>ARROZ BLANCO #1 100 LBS (96/4)</t>
  </si>
  <si>
    <t>ARROZ ESCALDADO #1 100 LBS (A)</t>
  </si>
  <si>
    <t>N/A</t>
  </si>
  <si>
    <t>LLENAR TOLVA DE ARROBAS (BLANCO)</t>
  </si>
  <si>
    <t>LLENAR TOLVA DE ARROBAS (ESCALDADO)</t>
  </si>
  <si>
    <t>ARROZ INTEGRAL 100 LBS</t>
  </si>
  <si>
    <t>TURNO</t>
  </si>
  <si>
    <t>TURNO A</t>
  </si>
  <si>
    <t>TURNO B</t>
  </si>
  <si>
    <t>TURNO C</t>
  </si>
  <si>
    <t>ARROZ MANHATTAN ORO SAQUITO 25 LBS</t>
  </si>
  <si>
    <t>PT-100-007</t>
  </si>
  <si>
    <t>COMENTARIOS ADICIONALES</t>
  </si>
  <si>
    <t>ARROZ MR. DIECK BLANCO 100 LBS</t>
  </si>
  <si>
    <t>MOLINO</t>
  </si>
  <si>
    <t>BLANCO</t>
  </si>
  <si>
    <t>ESCALDADO</t>
  </si>
  <si>
    <t>ARROZ MANHATTAN BLANCO QUINTAL 100 LBS</t>
  </si>
  <si>
    <t>ARROZ MANHATTAN BLANCO SAQUITO 25 LBS</t>
  </si>
  <si>
    <t>PT-101-008</t>
  </si>
  <si>
    <t>PT-100-008</t>
  </si>
  <si>
    <t>REPASAR ARROZ PUNTILLA</t>
  </si>
  <si>
    <t>PT-100-009</t>
  </si>
  <si>
    <t>ARROZ BLANCO PMA (80/20)</t>
  </si>
  <si>
    <t>PT-111-005</t>
  </si>
  <si>
    <t>ARROZ BAMBI ROJO QQ 80/20</t>
  </si>
  <si>
    <t>ARROZ BAMBI ROJO SAQ 80/20</t>
  </si>
  <si>
    <t>PT-111-008</t>
  </si>
  <si>
    <t>ARROZ BAMBI ROJO SAQ 70/30</t>
  </si>
  <si>
    <t>ARROZ BAMBI ROJO QQ 70/30</t>
  </si>
  <si>
    <t>PT-100-010</t>
  </si>
  <si>
    <t>ARROZ BLANCO HORTIFRUTI 80/20</t>
  </si>
  <si>
    <t>PT-100-011</t>
  </si>
  <si>
    <t>ARROZ ESCALDADO HORTIFRUTI 100 LBS</t>
  </si>
  <si>
    <t>PT-101-009</t>
  </si>
  <si>
    <t>ARROZ SACO BLANCO 35 LBS</t>
  </si>
  <si>
    <t>EMPRESA DIECK Y DIECK</t>
  </si>
  <si>
    <t>Orden de producción linea de arroz blanco y escaldado</t>
  </si>
  <si>
    <r>
      <t xml:space="preserve">Código: </t>
    </r>
    <r>
      <rPr>
        <sz val="10"/>
        <color theme="1"/>
        <rFont val="Arial"/>
        <family val="2"/>
      </rPr>
      <t>PA-FO-29</t>
    </r>
  </si>
  <si>
    <t>M1</t>
  </si>
  <si>
    <t>MIGON</t>
  </si>
  <si>
    <t>M2</t>
  </si>
  <si>
    <t>ARROZ MR. DIECK ESCALDADO SAQUITO 25 LBS</t>
  </si>
  <si>
    <t>ARROZ BAMBI ECONOMICO QQ (80/20) 100 LBS</t>
  </si>
  <si>
    <t>ARROZ MR. DIECK BLANCO QUINTAL 100 LBS</t>
  </si>
  <si>
    <t>PT-100-012</t>
  </si>
  <si>
    <t>ARROZ BAMBI PREMIUM QQ 90/10</t>
  </si>
  <si>
    <t>ARROZ BAMBI ECONOMICO SAQ (80/20) 25 LBS</t>
  </si>
  <si>
    <t>ARROZ MR. DIECK BLANCO SAQUITO 25 LBS</t>
  </si>
  <si>
    <t>PT-101-010</t>
  </si>
  <si>
    <t>ARROZ BAMBI PREMIUM SAQ 90/10</t>
  </si>
  <si>
    <t>ARROZ BAMBI SUPER ECONOMICO QQ (70/30) 100 LBS</t>
  </si>
  <si>
    <t>ARROZ BAMBI SUPER ECONOMICO SAQ (70/30) 25 LBS</t>
  </si>
  <si>
    <t>SACO BLANCO ENTERO</t>
  </si>
  <si>
    <t>INFORMACION DE GRANZA</t>
  </si>
  <si>
    <t>BUQUE: NEPTULUS</t>
  </si>
  <si>
    <t>RENDIMIENTO</t>
  </si>
  <si>
    <t>%ENTERO</t>
  </si>
  <si>
    <t>%MIGON</t>
  </si>
  <si>
    <t>%MIGA</t>
  </si>
  <si>
    <t>GRANZA NECESARIA</t>
  </si>
  <si>
    <t>TIPO</t>
  </si>
  <si>
    <t>ARROBAS</t>
  </si>
  <si>
    <t>BALANCE</t>
  </si>
  <si>
    <t>JEFE/SUPERVISOR DE PRODUCCION</t>
  </si>
  <si>
    <r>
      <t xml:space="preserve">ENTERO </t>
    </r>
    <r>
      <rPr>
        <b/>
        <i/>
        <sz val="11"/>
        <color theme="1"/>
        <rFont val="Arial"/>
        <family val="2"/>
      </rPr>
      <t>MIN</t>
    </r>
  </si>
  <si>
    <r>
      <t xml:space="preserve">MIGON </t>
    </r>
    <r>
      <rPr>
        <b/>
        <i/>
        <sz val="11"/>
        <color theme="1"/>
        <rFont val="Arial"/>
        <family val="2"/>
      </rPr>
      <t>MAX</t>
    </r>
  </si>
  <si>
    <r>
      <t xml:space="preserve">PULIDO </t>
    </r>
    <r>
      <rPr>
        <b/>
        <i/>
        <sz val="11"/>
        <color theme="1"/>
        <rFont val="Arial"/>
        <family val="2"/>
      </rPr>
      <t>MIN</t>
    </r>
  </si>
  <si>
    <t>TOTA QQ GRANZA</t>
  </si>
  <si>
    <t>EMBARCACIÓN</t>
  </si>
  <si>
    <t># SILO</t>
  </si>
  <si>
    <r>
      <t xml:space="preserve">Versión: </t>
    </r>
    <r>
      <rPr>
        <sz val="10"/>
        <color theme="1"/>
        <rFont val="Arial"/>
        <family val="2"/>
      </rPr>
      <t>03</t>
    </r>
  </si>
  <si>
    <r>
      <t xml:space="preserve">Fecha: </t>
    </r>
    <r>
      <rPr>
        <sz val="10"/>
        <color theme="1"/>
        <rFont val="Arial"/>
        <family val="2"/>
      </rPr>
      <t>02-ene-25</t>
    </r>
  </si>
  <si>
    <t>Tarimas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</si>
</sst>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1"/>
      <name val="Calibri"/>
      <family val="2"/>
    </font>
    <font>
      <b/>
      <sz val="10"/>
      <color indexed="8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theme="1"/>
      <name val="Arial"/>
      <family val="2"/>
    </font>
    <font>
      <sz val="18"/>
      <color theme="1"/>
      <name val="Arial"/>
      <family val="2"/>
    </font>
    <font>
      <b/>
      <i/>
      <sz val="18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i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i/>
      <u/>
      <sz val="11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39997558519241921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thin">
        <color auto="1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auto="1"/>
      </top>
      <bottom style="thin">
        <color theme="4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4" tint="0.3999755851924192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20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29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left"/>
    </xf>
    <xf numFmtId="0" fontId="13" fillId="0" borderId="0" xfId="0" applyFont="1" applyAlignment="1">
      <alignment horizontal="right"/>
    </xf>
    <xf numFmtId="14" fontId="8" fillId="0" borderId="0" xfId="0" applyNumberFormat="1" applyFont="1" applyAlignment="1">
      <alignment horizontal="right"/>
    </xf>
    <xf numFmtId="0" fontId="14" fillId="0" borderId="0" xfId="0" applyFont="1"/>
    <xf numFmtId="0" fontId="12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12" fillId="0" borderId="0" xfId="0" applyFont="1"/>
    <xf numFmtId="0" fontId="8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14" fontId="16" fillId="0" borderId="0" xfId="0" applyNumberFormat="1" applyFont="1" applyAlignment="1">
      <alignment horizontal="center"/>
    </xf>
    <xf numFmtId="14" fontId="8" fillId="0" borderId="0" xfId="0" applyNumberFormat="1" applyFont="1"/>
    <xf numFmtId="0" fontId="17" fillId="0" borderId="33" xfId="0" applyFont="1" applyBorder="1" applyAlignment="1">
      <alignment horizontal="center"/>
    </xf>
    <xf numFmtId="0" fontId="11" fillId="0" borderId="27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8" fillId="0" borderId="2" xfId="0" applyFont="1" applyBorder="1" applyAlignment="1" applyProtection="1">
      <alignment horizontal="center"/>
      <protection locked="0"/>
    </xf>
    <xf numFmtId="0" fontId="8" fillId="0" borderId="21" xfId="0" applyFon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horizontal="center"/>
      <protection locked="0"/>
    </xf>
    <xf numFmtId="3" fontId="8" fillId="0" borderId="21" xfId="0" applyNumberFormat="1" applyFont="1" applyBorder="1" applyAlignment="1" applyProtection="1">
      <alignment horizontal="center"/>
      <protection locked="0"/>
    </xf>
    <xf numFmtId="3" fontId="8" fillId="0" borderId="11" xfId="0" applyNumberFormat="1" applyFont="1" applyBorder="1"/>
    <xf numFmtId="3" fontId="8" fillId="0" borderId="18" xfId="0" applyNumberFormat="1" applyFont="1" applyBorder="1"/>
    <xf numFmtId="0" fontId="8" fillId="0" borderId="14" xfId="0" applyFont="1" applyBorder="1" applyAlignment="1">
      <alignment horizontal="center"/>
    </xf>
    <xf numFmtId="3" fontId="8" fillId="0" borderId="14" xfId="0" applyNumberFormat="1" applyFont="1" applyBorder="1"/>
    <xf numFmtId="0" fontId="8" fillId="0" borderId="15" xfId="0" applyFont="1" applyBorder="1" applyAlignment="1">
      <alignment horizontal="center"/>
    </xf>
    <xf numFmtId="0" fontId="8" fillId="0" borderId="28" xfId="0" applyFont="1" applyBorder="1" applyAlignment="1" applyProtection="1">
      <alignment horizontal="center"/>
      <protection locked="0"/>
    </xf>
    <xf numFmtId="0" fontId="8" fillId="0" borderId="29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3" fontId="8" fillId="0" borderId="12" xfId="0" applyNumberFormat="1" applyFont="1" applyBorder="1"/>
    <xf numFmtId="3" fontId="8" fillId="0" borderId="15" xfId="0" applyNumberFormat="1" applyFont="1" applyBorder="1"/>
    <xf numFmtId="0" fontId="11" fillId="0" borderId="26" xfId="0" applyFont="1" applyBorder="1" applyAlignment="1">
      <alignment horizontal="center"/>
    </xf>
    <xf numFmtId="3" fontId="11" fillId="0" borderId="26" xfId="0" applyNumberFormat="1" applyFont="1" applyBorder="1"/>
    <xf numFmtId="0" fontId="8" fillId="0" borderId="20" xfId="0" applyFont="1" applyBorder="1" applyAlignment="1" applyProtection="1">
      <alignment vertical="top" wrapText="1"/>
      <protection locked="0"/>
    </xf>
    <xf numFmtId="0" fontId="8" fillId="0" borderId="22" xfId="0" applyFont="1" applyBorder="1" applyAlignment="1" applyProtection="1">
      <alignment vertical="top" wrapText="1"/>
      <protection locked="0"/>
    </xf>
    <xf numFmtId="0" fontId="8" fillId="0" borderId="13" xfId="0" applyFont="1" applyBorder="1" applyAlignment="1" applyProtection="1">
      <alignment vertical="top" wrapText="1"/>
      <protection locked="0"/>
    </xf>
    <xf numFmtId="0" fontId="8" fillId="0" borderId="16" xfId="0" applyFont="1" applyBorder="1" applyAlignment="1" applyProtection="1">
      <alignment vertical="top" wrapText="1"/>
      <protection locked="0"/>
    </xf>
    <xf numFmtId="0" fontId="8" fillId="0" borderId="17" xfId="0" applyFont="1" applyBorder="1" applyAlignment="1" applyProtection="1">
      <alignment vertical="top" wrapText="1"/>
      <protection locked="0"/>
    </xf>
    <xf numFmtId="0" fontId="8" fillId="0" borderId="11" xfId="0" applyFont="1" applyBorder="1" applyAlignment="1" applyProtection="1">
      <alignment vertical="top" wrapText="1"/>
      <protection locked="0"/>
    </xf>
    <xf numFmtId="0" fontId="8" fillId="0" borderId="14" xfId="0" applyFont="1" applyBorder="1" applyAlignment="1" applyProtection="1">
      <alignment vertical="top" wrapText="1"/>
      <protection locked="0"/>
    </xf>
    <xf numFmtId="0" fontId="8" fillId="0" borderId="23" xfId="0" applyFont="1" applyBorder="1" applyAlignment="1" applyProtection="1">
      <alignment vertical="top" wrapText="1"/>
      <protection locked="0"/>
    </xf>
    <xf numFmtId="0" fontId="8" fillId="0" borderId="3" xfId="0" applyFont="1" applyBorder="1" applyAlignment="1" applyProtection="1">
      <alignment vertical="top" wrapText="1"/>
      <protection locked="0"/>
    </xf>
    <xf numFmtId="0" fontId="8" fillId="0" borderId="24" xfId="0" applyFont="1" applyBorder="1" applyAlignment="1" applyProtection="1">
      <alignment vertical="top" wrapText="1"/>
      <protection locked="0"/>
    </xf>
    <xf numFmtId="0" fontId="8" fillId="0" borderId="19" xfId="0" applyFont="1" applyBorder="1"/>
    <xf numFmtId="0" fontId="8" fillId="0" borderId="3" xfId="0" applyFont="1" applyBorder="1" applyAlignment="1">
      <alignment horizontal="center"/>
    </xf>
    <xf numFmtId="0" fontId="11" fillId="0" borderId="3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37" xfId="0" applyFont="1" applyBorder="1" applyAlignment="1" applyProtection="1">
      <alignment horizontal="center"/>
      <protection locked="0"/>
    </xf>
    <xf numFmtId="3" fontId="8" fillId="0" borderId="35" xfId="0" applyNumberFormat="1" applyFont="1" applyBorder="1" applyAlignment="1" applyProtection="1">
      <alignment horizontal="center"/>
      <protection locked="0"/>
    </xf>
    <xf numFmtId="0" fontId="8" fillId="0" borderId="9" xfId="0" applyFont="1" applyBorder="1" applyAlignment="1" applyProtection="1">
      <alignment horizontal="left"/>
      <protection locked="0"/>
    </xf>
    <xf numFmtId="0" fontId="8" fillId="0" borderId="39" xfId="0" applyFont="1" applyBorder="1" applyAlignment="1" applyProtection="1">
      <alignment horizontal="center"/>
      <protection locked="0"/>
    </xf>
    <xf numFmtId="0" fontId="8" fillId="0" borderId="10" xfId="0" applyFont="1" applyBorder="1" applyAlignment="1" applyProtection="1">
      <alignment horizontal="left"/>
      <protection locked="0"/>
    </xf>
    <xf numFmtId="0" fontId="8" fillId="0" borderId="12" xfId="0" applyFont="1" applyBorder="1" applyAlignment="1">
      <alignment horizontal="center"/>
    </xf>
    <xf numFmtId="0" fontId="8" fillId="0" borderId="42" xfId="0" applyFont="1" applyBorder="1" applyAlignment="1" applyProtection="1">
      <alignment horizontal="center"/>
      <protection locked="0"/>
    </xf>
    <xf numFmtId="0" fontId="8" fillId="2" borderId="25" xfId="0" applyFont="1" applyFill="1" applyBorder="1" applyAlignment="1" applyProtection="1">
      <alignment horizontal="left"/>
      <protection locked="0"/>
    </xf>
    <xf numFmtId="0" fontId="8" fillId="0" borderId="43" xfId="0" applyFont="1" applyBorder="1" applyAlignment="1" applyProtection="1">
      <alignment horizontal="center"/>
      <protection locked="0"/>
    </xf>
    <xf numFmtId="0" fontId="8" fillId="0" borderId="25" xfId="0" applyFont="1" applyBorder="1" applyAlignment="1" applyProtection="1">
      <alignment horizontal="center"/>
      <protection locked="0"/>
    </xf>
    <xf numFmtId="0" fontId="8" fillId="0" borderId="44" xfId="0" applyFont="1" applyBorder="1" applyAlignment="1" applyProtection="1">
      <alignment horizontal="center"/>
      <protection locked="0"/>
    </xf>
    <xf numFmtId="0" fontId="19" fillId="0" borderId="25" xfId="0" applyFont="1" applyBorder="1" applyAlignment="1">
      <alignment wrapText="1"/>
    </xf>
    <xf numFmtId="0" fontId="8" fillId="0" borderId="38" xfId="0" applyFont="1" applyBorder="1" applyAlignment="1">
      <alignment horizontal="center"/>
    </xf>
    <xf numFmtId="0" fontId="8" fillId="0" borderId="9" xfId="0" applyFont="1" applyBorder="1" applyAlignment="1" applyProtection="1">
      <alignment horizontal="center"/>
      <protection locked="0"/>
    </xf>
    <xf numFmtId="0" fontId="19" fillId="0" borderId="9" xfId="0" applyFont="1" applyBorder="1" applyAlignment="1">
      <alignment wrapText="1"/>
    </xf>
    <xf numFmtId="0" fontId="8" fillId="2" borderId="9" xfId="0" applyFont="1" applyFill="1" applyBorder="1" applyAlignment="1" applyProtection="1">
      <alignment horizontal="left"/>
      <protection locked="0"/>
    </xf>
    <xf numFmtId="0" fontId="8" fillId="0" borderId="9" xfId="0" applyFont="1" applyBorder="1"/>
    <xf numFmtId="0" fontId="8" fillId="0" borderId="9" xfId="0" applyFont="1" applyBorder="1" applyAlignment="1">
      <alignment vertical="center" wrapText="1"/>
    </xf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 applyProtection="1">
      <alignment horizontal="center"/>
      <protection locked="0"/>
    </xf>
    <xf numFmtId="0" fontId="8" fillId="0" borderId="10" xfId="0" applyFont="1" applyBorder="1"/>
    <xf numFmtId="0" fontId="0" fillId="3" borderId="45" xfId="0" applyFill="1" applyBorder="1"/>
    <xf numFmtId="0" fontId="0" fillId="3" borderId="46" xfId="0" applyFill="1" applyBorder="1"/>
    <xf numFmtId="0" fontId="0" fillId="0" borderId="47" xfId="0" applyBorder="1"/>
    <xf numFmtId="0" fontId="0" fillId="0" borderId="48" xfId="0" applyBorder="1"/>
    <xf numFmtId="0" fontId="0" fillId="3" borderId="47" xfId="0" applyFill="1" applyBorder="1"/>
    <xf numFmtId="0" fontId="0" fillId="3" borderId="48" xfId="0" applyFill="1" applyBorder="1"/>
    <xf numFmtId="0" fontId="0" fillId="4" borderId="47" xfId="0" applyFill="1" applyBorder="1"/>
    <xf numFmtId="0" fontId="0" fillId="4" borderId="48" xfId="0" applyFill="1" applyBorder="1"/>
    <xf numFmtId="0" fontId="0" fillId="0" borderId="15" xfId="0" applyBorder="1"/>
    <xf numFmtId="9" fontId="0" fillId="5" borderId="0" xfId="0" applyNumberFormat="1" applyFill="1"/>
    <xf numFmtId="10" fontId="0" fillId="0" borderId="0" xfId="0" applyNumberFormat="1"/>
    <xf numFmtId="9" fontId="0" fillId="0" borderId="0" xfId="0" applyNumberFormat="1"/>
    <xf numFmtId="4" fontId="0" fillId="0" borderId="0" xfId="0" applyNumberFormat="1"/>
    <xf numFmtId="0" fontId="3" fillId="0" borderId="0" xfId="0" applyFont="1" applyAlignment="1">
      <alignment horizontal="center" vertical="center"/>
    </xf>
    <xf numFmtId="3" fontId="0" fillId="0" borderId="0" xfId="0" applyNumberFormat="1"/>
    <xf numFmtId="14" fontId="15" fillId="0" borderId="0" xfId="0" applyNumberFormat="1" applyFont="1" applyAlignment="1">
      <alignment horizontal="center" vertical="center"/>
    </xf>
    <xf numFmtId="0" fontId="11" fillId="0" borderId="4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8" fillId="0" borderId="3" xfId="0" applyNumberFormat="1" applyFont="1" applyBorder="1" applyAlignment="1" applyProtection="1">
      <alignment horizontal="center"/>
      <protection locked="0"/>
    </xf>
    <xf numFmtId="0" fontId="12" fillId="0" borderId="0" xfId="0" applyFont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3" fontId="8" fillId="0" borderId="4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7" fillId="0" borderId="0" xfId="0" applyFont="1" applyAlignment="1">
      <alignment horizontal="left" vertical="center"/>
    </xf>
    <xf numFmtId="0" fontId="8" fillId="0" borderId="1" xfId="0" applyFont="1" applyBorder="1" applyAlignment="1" applyProtection="1">
      <alignment horizontal="center" wrapText="1"/>
      <protection locked="0"/>
    </xf>
    <xf numFmtId="0" fontId="8" fillId="0" borderId="19" xfId="0" applyFont="1" applyBorder="1" applyAlignment="1" applyProtection="1">
      <alignment horizontal="center" wrapText="1"/>
      <protection locked="0"/>
    </xf>
    <xf numFmtId="0" fontId="11" fillId="0" borderId="6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8" fillId="0" borderId="6" xfId="0" applyFont="1" applyBorder="1" applyAlignment="1" applyProtection="1">
      <alignment horizontal="center"/>
      <protection locked="0"/>
    </xf>
    <xf numFmtId="14" fontId="15" fillId="0" borderId="0" xfId="0" applyNumberFormat="1" applyFont="1" applyAlignment="1">
      <alignment horizontal="center" vertical="center"/>
    </xf>
    <xf numFmtId="14" fontId="8" fillId="0" borderId="0" xfId="0" applyNumberFormat="1" applyFont="1" applyAlignment="1" applyProtection="1">
      <alignment horizontal="center"/>
      <protection locked="0"/>
    </xf>
    <xf numFmtId="164" fontId="8" fillId="0" borderId="0" xfId="0" applyNumberFormat="1" applyFont="1" applyAlignment="1" applyProtection="1">
      <alignment horizontal="center"/>
      <protection locked="0"/>
    </xf>
    <xf numFmtId="0" fontId="11" fillId="0" borderId="49" xfId="0" applyFont="1" applyBorder="1" applyAlignment="1">
      <alignment horizontal="center" vertical="center"/>
    </xf>
    <xf numFmtId="3" fontId="8" fillId="0" borderId="16" xfId="0" applyNumberFormat="1" applyFont="1" applyBorder="1"/>
    <xf numFmtId="3" fontId="8" fillId="0" borderId="17" xfId="0" applyNumberFormat="1" applyFont="1" applyBorder="1"/>
    <xf numFmtId="3" fontId="8" fillId="0" borderId="40" xfId="0" applyNumberFormat="1" applyFont="1" applyBorder="1"/>
    <xf numFmtId="0" fontId="11" fillId="0" borderId="1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8" fillId="0" borderId="20" xfId="0" applyFont="1" applyBorder="1" applyAlignment="1" applyProtection="1">
      <alignment horizontal="center"/>
      <protection locked="0"/>
    </xf>
    <xf numFmtId="0" fontId="8" fillId="0" borderId="17" xfId="0" applyFont="1" applyBorder="1" applyAlignment="1" applyProtection="1">
      <alignment horizontal="center"/>
      <protection locked="0"/>
    </xf>
    <xf numFmtId="0" fontId="8" fillId="0" borderId="40" xfId="0" applyFont="1" applyBorder="1" applyAlignment="1" applyProtection="1">
      <alignment horizontal="center"/>
      <protection locked="0"/>
    </xf>
    <xf numFmtId="0" fontId="11" fillId="0" borderId="50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</cellXfs>
  <cellStyles count="1207">
    <cellStyle name="Hipervínculo" xfId="407" builtinId="8" hidden="1"/>
    <cellStyle name="Hipervínculo" xfId="335" builtinId="8" hidden="1"/>
    <cellStyle name="Hipervínculo" xfId="309" builtinId="8" hidden="1"/>
    <cellStyle name="Hipervínculo" xfId="261" builtinId="8" hidden="1"/>
    <cellStyle name="Hipervínculo" xfId="213" builtinId="8" hidden="1"/>
    <cellStyle name="Hipervínculo" xfId="493" builtinId="8" hidden="1"/>
    <cellStyle name="Hipervínculo" xfId="573" builtinId="8" hidden="1"/>
    <cellStyle name="Hipervínculo" xfId="829" builtinId="8" hidden="1"/>
    <cellStyle name="Hipervínculo" xfId="1145" builtinId="8" hidden="1"/>
    <cellStyle name="Hipervínculo" xfId="1151" builtinId="8" hidden="1"/>
    <cellStyle name="Hipervínculo" xfId="1163" builtinId="8" hidden="1"/>
    <cellStyle name="Hipervínculo" xfId="1167" builtinId="8" hidden="1"/>
    <cellStyle name="Hipervínculo" xfId="1175" builtinId="8" hidden="1"/>
    <cellStyle name="Hipervínculo" xfId="1183" builtinId="8" hidden="1"/>
    <cellStyle name="Hipervínculo" xfId="1187" builtinId="8" hidden="1"/>
    <cellStyle name="Hipervínculo" xfId="1193" builtinId="8" hidden="1"/>
    <cellStyle name="Hipervínculo" xfId="1203" builtinId="8" hidden="1"/>
    <cellStyle name="Hipervínculo" xfId="1205" builtinId="8" hidden="1"/>
    <cellStyle name="Hipervínculo" xfId="1197" builtinId="8" hidden="1"/>
    <cellStyle name="Hipervínculo" xfId="1149" builtinId="8" hidden="1"/>
    <cellStyle name="Hipervínculo" xfId="1141" builtinId="8" hidden="1"/>
    <cellStyle name="Hipervínculo" xfId="1117" builtinId="8" hidden="1"/>
    <cellStyle name="Hipervínculo" xfId="1101" builtinId="8" hidden="1"/>
    <cellStyle name="Hipervínculo" xfId="1077" builtinId="8" hidden="1"/>
    <cellStyle name="Hipervínculo" xfId="1069" builtinId="8" hidden="1"/>
    <cellStyle name="Hipervínculo" xfId="1037" builtinId="8" hidden="1"/>
    <cellStyle name="Hipervínculo" xfId="1021" builtinId="8" hidden="1"/>
    <cellStyle name="Hipervínculo" xfId="1013" builtinId="8" hidden="1"/>
    <cellStyle name="Hipervínculo" xfId="973" builtinId="8" hidden="1"/>
    <cellStyle name="Hipervínculo" xfId="957" builtinId="8" hidden="1"/>
    <cellStyle name="Hipervínculo" xfId="941" builtinId="8" hidden="1"/>
    <cellStyle name="Hipervínculo" xfId="917" builtinId="8" hidden="1"/>
    <cellStyle name="Hipervínculo" xfId="893" builtinId="8" hidden="1"/>
    <cellStyle name="Hipervínculo" xfId="885" builtinId="8" hidden="1"/>
    <cellStyle name="Hipervínculo" xfId="1173" builtinId="8" hidden="1"/>
    <cellStyle name="Hipervínculo" xfId="1161" builtinId="8" hidden="1"/>
    <cellStyle name="Hipervínculo" xfId="1067" builtinId="8" hidden="1"/>
    <cellStyle name="Hipervínculo" xfId="1079" builtinId="8" hidden="1"/>
    <cellStyle name="Hipervínculo" xfId="1081" builtinId="8" hidden="1"/>
    <cellStyle name="Hipervínculo" xfId="1089" builtinId="8" hidden="1"/>
    <cellStyle name="Hipervínculo" xfId="1097" builtinId="8" hidden="1"/>
    <cellStyle name="Hipervínculo" xfId="1107" builtinId="8" hidden="1"/>
    <cellStyle name="Hipervínculo" xfId="1111" builtinId="8" hidden="1"/>
    <cellStyle name="Hipervínculo" xfId="1121" builtinId="8" hidden="1"/>
    <cellStyle name="Hipervínculo" xfId="1123" builtinId="8" hidden="1"/>
    <cellStyle name="Hipervínculo" xfId="1129" builtinId="8" hidden="1"/>
    <cellStyle name="Hipervínculo" xfId="1139" builtinId="8" hidden="1"/>
    <cellStyle name="Hipervínculo" xfId="1143" builtinId="8" hidden="1"/>
    <cellStyle name="Hipervínculo" xfId="1033" builtinId="8" hidden="1"/>
    <cellStyle name="Hipervínculo" xfId="1039" builtinId="8" hidden="1"/>
    <cellStyle name="Hipervínculo" xfId="1047" builtinId="8" hidden="1"/>
    <cellStyle name="Hipervínculo" xfId="1049" builtinId="8" hidden="1"/>
    <cellStyle name="Hipervínculo" xfId="1059" builtinId="8" hidden="1"/>
    <cellStyle name="Hipervínculo" xfId="1065" builtinId="8" hidden="1"/>
    <cellStyle name="Hipervínculo" xfId="1015" builtinId="8" hidden="1"/>
    <cellStyle name="Hipervínculo" xfId="1025" builtinId="8" hidden="1"/>
    <cellStyle name="Hipervínculo" xfId="1027" builtinId="8" hidden="1"/>
    <cellStyle name="Hipervínculo" xfId="1007" builtinId="8" hidden="1"/>
    <cellStyle name="Hipervínculo" xfId="1001" builtinId="8" hidden="1"/>
    <cellStyle name="Hipervínculo" xfId="995" builtinId="8" hidden="1"/>
    <cellStyle name="Hipervínculo" xfId="1003" builtinId="8" hidden="1"/>
    <cellStyle name="Hipervínculo" xfId="1057" builtinId="8" hidden="1"/>
    <cellStyle name="Hipervínculo" xfId="1043" builtinId="8" hidden="1"/>
    <cellStyle name="Hipervínculo" xfId="1103" builtinId="8" hidden="1"/>
    <cellStyle name="Hipervínculo" xfId="1119" builtinId="8" hidden="1"/>
    <cellStyle name="Hipervínculo" xfId="1099" builtinId="8" hidden="1"/>
    <cellStyle name="Hipervínculo" xfId="1087" builtinId="8" hidden="1"/>
    <cellStyle name="Hipervínculo" xfId="1005" builtinId="8" hidden="1"/>
    <cellStyle name="Hipervínculo" xfId="909" builtinId="8" hidden="1"/>
    <cellStyle name="Hipervínculo" xfId="949" builtinId="8" hidden="1"/>
    <cellStyle name="Hipervínculo" xfId="1045" builtinId="8" hidden="1"/>
    <cellStyle name="Hipervínculo" xfId="1085" builtinId="8" hidden="1"/>
    <cellStyle name="Hipervínculo" xfId="1133" builtinId="8" hidden="1"/>
    <cellStyle name="Hipervínculo" xfId="1199" builtinId="8" hidden="1"/>
    <cellStyle name="Hipervínculo" xfId="1185" builtinId="8" hidden="1"/>
    <cellStyle name="Hipervínculo" xfId="1171" builtinId="8" hidden="1"/>
    <cellStyle name="Hipervínculo" xfId="749" builtinId="8" hidden="1"/>
    <cellStyle name="Hipervínculo" xfId="187" builtinId="8" hidden="1"/>
    <cellStyle name="Hipervínculo" xfId="287" builtinId="8" hidden="1"/>
    <cellStyle name="Hipervínculo" xfId="419" builtinId="8" hidden="1"/>
    <cellStyle name="Hipervínculo" xfId="405" builtinId="8" hidden="1"/>
    <cellStyle name="Hipervínculo" xfId="391" builtinId="8" hidden="1"/>
    <cellStyle name="Hipervínculo" xfId="363" builtinId="8" hidden="1"/>
    <cellStyle name="Hipervínculo" xfId="351" builtinId="8" hidden="1"/>
    <cellStyle name="Hipervínculo" xfId="337" builtinId="8" hidden="1"/>
    <cellStyle name="Hipervínculo" xfId="307" builtinId="8" hidden="1"/>
    <cellStyle name="Hipervínculo" xfId="295" builtinId="8" hidden="1"/>
    <cellStyle name="Hipervínculo" xfId="279" builtinId="8" hidden="1"/>
    <cellStyle name="Hipervínculo" xfId="251" builtinId="8" hidden="1"/>
    <cellStyle name="Hipervínculo" xfId="241" builtinId="8" hidden="1"/>
    <cellStyle name="Hipervínculo" xfId="225" builtinId="8" hidden="1"/>
    <cellStyle name="Hipervínculo" xfId="197" builtinId="8" hidden="1"/>
    <cellStyle name="Hipervínculo" xfId="429" builtinId="8" hidden="1"/>
    <cellStyle name="Hipervínculo" xfId="469" builtinId="8" hidden="1"/>
    <cellStyle name="Hipervínculo" xfId="565" builtinId="8" hidden="1"/>
    <cellStyle name="Hipervínculo" xfId="621" builtinId="8" hidden="1"/>
    <cellStyle name="Hipervínculo" xfId="669" builtinId="8" hidden="1"/>
    <cellStyle name="Hipervínculo" xfId="765" builtinId="8" hidden="1"/>
    <cellStyle name="Hipervínculo" xfId="813" builtinId="8" hidden="1"/>
    <cellStyle name="Hipervínculo" xfId="861" builtinId="8" hidden="1"/>
    <cellStyle name="Hipervínculo" xfId="137" builtinId="8" hidden="1"/>
    <cellStyle name="Hipervínculo" xfId="181" builtinId="8" hidden="1"/>
    <cellStyle name="Hipervínculo" xfId="79" builtinId="8" hidden="1"/>
    <cellStyle name="Hipervínculo" xfId="159" builtinId="8" hidden="1"/>
    <cellStyle name="Hipervínculo" xfId="393" builtinId="8" hidden="1"/>
    <cellStyle name="Hipervínculo" xfId="247" builtinId="8" hidden="1"/>
    <cellStyle name="Hipervínculo" xfId="1201" builtinId="8" hidden="1"/>
    <cellStyle name="Hipervínculo" xfId="1031" builtinId="8" hidden="1"/>
    <cellStyle name="Hipervínculo" xfId="707" builtinId="8" hidden="1"/>
    <cellStyle name="Hipervínculo" xfId="803" builtinId="8" hidden="1"/>
    <cellStyle name="Hipervínculo" xfId="855" builtinId="8" hidden="1"/>
    <cellStyle name="Hipervínculo" xfId="903" builtinId="8" hidden="1"/>
    <cellStyle name="Hipervínculo" xfId="955" builtinId="8" hidden="1"/>
    <cellStyle name="Hipervínculo" xfId="545" builtinId="8" hidden="1"/>
    <cellStyle name="Hipervínculo" xfId="591" builtinId="8" hidden="1"/>
    <cellStyle name="Hipervínculo" xfId="483" builtinId="8" hidden="1"/>
    <cellStyle name="Hipervínculo" xfId="529" builtinId="8" hidden="1"/>
    <cellStyle name="Hipervínculo" xfId="443" builtinId="8" hidden="1"/>
    <cellStyle name="Hipervínculo" xfId="447" builtinId="8" hidden="1"/>
    <cellStyle name="Hipervínculo" xfId="471" builtinId="8" hidden="1"/>
    <cellStyle name="Hipervínculo" xfId="457" builtinId="8" hidden="1"/>
    <cellStyle name="Hipervínculo" xfId="515" builtinId="8" hidden="1"/>
    <cellStyle name="Hipervínculo" xfId="499" builtinId="8" hidden="1"/>
    <cellStyle name="Hipervínculo" xfId="487" builtinId="8" hidden="1"/>
    <cellStyle name="Hipervínculo" xfId="655" builtinId="8" hidden="1"/>
    <cellStyle name="Hipervínculo" xfId="641" builtinId="8" hidden="1"/>
    <cellStyle name="Hipervínculo" xfId="623" builtinId="8" hidden="1"/>
    <cellStyle name="Hipervínculo" xfId="595" builtinId="8" hidden="1"/>
    <cellStyle name="Hipervínculo" xfId="577" builtinId="8" hidden="1"/>
    <cellStyle name="Hipervínculo" xfId="563" builtinId="8" hidden="1"/>
    <cellStyle name="Hipervínculo" xfId="721" builtinId="8" hidden="1"/>
    <cellStyle name="Hipervínculo" xfId="827" builtinId="8" hidden="1"/>
    <cellStyle name="Hipervínculo" xfId="935" builtinId="8" hidden="1"/>
    <cellStyle name="Hipervínculo" xfId="265" builtinId="8" hidden="1"/>
    <cellStyle name="Hipervínculo" xfId="257" builtinId="8" hidden="1"/>
    <cellStyle name="Hipervínculo" xfId="229" builtinId="8" hidden="1"/>
    <cellStyle name="Hipervínculo" xfId="201" builtinId="8" hidden="1"/>
    <cellStyle name="Hipervínculo" xfId="193" builtinId="8" hidden="1"/>
    <cellStyle name="Hipervínculo" xfId="183" builtinId="8" hidden="1"/>
    <cellStyle name="Hipervínculo" xfId="517" builtinId="8" hidden="1"/>
    <cellStyle name="Hipervínculo" xfId="613" builtinId="8" hidden="1"/>
    <cellStyle name="Hipervínculo" xfId="645" builtinId="8" hidden="1"/>
    <cellStyle name="Hipervínculo" xfId="741" builtinId="8" hidden="1"/>
    <cellStyle name="Hipervínculo" xfId="773" builtinId="8" hidden="1"/>
    <cellStyle name="Hipervínculo" xfId="805" builtinId="8" hidden="1"/>
    <cellStyle name="Hipervínculo" xfId="933" builtinId="8" hidden="1"/>
    <cellStyle name="Hipervínculo" xfId="997" builtinId="8" hidden="1"/>
    <cellStyle name="Hipervínculo" xfId="1029" builtinId="8" hidden="1"/>
    <cellStyle name="Hipervínculo" xfId="1125" builtinId="8" hidden="1"/>
    <cellStyle name="Hipervínculo" xfId="1157" builtinId="8" hidden="1"/>
    <cellStyle name="Hipervínculo" xfId="1189" builtinId="8" hidden="1"/>
    <cellStyle name="Hipervínculo" xfId="1169" builtinId="8" hidden="1"/>
    <cellStyle name="Hipervínculo" xfId="1147" builtinId="8" hidden="1"/>
    <cellStyle name="Hipervínculo" xfId="1137" builtinId="8" hidden="1"/>
    <cellStyle name="Hipervínculo" xfId="1105" builtinId="8" hidden="1"/>
    <cellStyle name="Hipervínculo" xfId="1095" builtinId="8" hidden="1"/>
    <cellStyle name="Hipervínculo" xfId="1063" builtinId="8" hidden="1"/>
    <cellStyle name="Hipervínculo" xfId="1041" builtinId="8" hidden="1"/>
    <cellStyle name="Hipervínculo" xfId="1019" builtinId="8" hidden="1"/>
    <cellStyle name="Hipervínculo" xfId="1009" builtinId="8" hidden="1"/>
    <cellStyle name="Hipervínculo" xfId="673" builtinId="8" hidden="1"/>
    <cellStyle name="Hipervínculo" xfId="681" builtinId="8" hidden="1"/>
    <cellStyle name="Hipervínculo" xfId="687" builtinId="8" hidden="1"/>
    <cellStyle name="Hipervínculo" xfId="691" builtinId="8" hidden="1"/>
    <cellStyle name="Hipervínculo" xfId="697" builtinId="8" hidden="1"/>
    <cellStyle name="Hipervínculo" xfId="703" builtinId="8" hidden="1"/>
    <cellStyle name="Hipervínculo" xfId="713" builtinId="8" hidden="1"/>
    <cellStyle name="Hipervínculo" xfId="715" builtinId="8" hidden="1"/>
    <cellStyle name="Hipervínculo" xfId="723" builtinId="8" hidden="1"/>
    <cellStyle name="Hipervínculo" xfId="729" builtinId="8" hidden="1"/>
    <cellStyle name="Hipervínculo" xfId="735" builtinId="8" hidden="1"/>
    <cellStyle name="Hipervínculo" xfId="737" builtinId="8" hidden="1"/>
    <cellStyle name="Hipervínculo" xfId="751" builtinId="8" hidden="1"/>
    <cellStyle name="Hipervínculo" xfId="753" builtinId="8" hidden="1"/>
    <cellStyle name="Hipervínculo" xfId="759" builtinId="8" hidden="1"/>
    <cellStyle name="Hipervínculo" xfId="767" builtinId="8" hidden="1"/>
    <cellStyle name="Hipervínculo" xfId="771" builtinId="8" hidden="1"/>
    <cellStyle name="Hipervínculo" xfId="777" builtinId="8" hidden="1"/>
    <cellStyle name="Hipervínculo" xfId="787" builtinId="8" hidden="1"/>
    <cellStyle name="Hipervínculo" xfId="791" builtinId="8" hidden="1"/>
    <cellStyle name="Hipervínculo" xfId="795" builtinId="8" hidden="1"/>
    <cellStyle name="Hipervínculo" xfId="801" builtinId="8" hidden="1"/>
    <cellStyle name="Hipervínculo" xfId="811" builtinId="8" hidden="1"/>
    <cellStyle name="Hipervínculo" xfId="815" builtinId="8" hidden="1"/>
    <cellStyle name="Hipervínculo" xfId="823" builtinId="8" hidden="1"/>
    <cellStyle name="Hipervínculo" xfId="825" builtinId="8" hidden="1"/>
    <cellStyle name="Hipervínculo" xfId="833" builtinId="8" hidden="1"/>
    <cellStyle name="Hipervínculo" xfId="843" builtinId="8" hidden="1"/>
    <cellStyle name="Hipervínculo" xfId="847" builtinId="8" hidden="1"/>
    <cellStyle name="Hipervínculo" xfId="851" builtinId="8" hidden="1"/>
    <cellStyle name="Hipervínculo" xfId="859" builtinId="8" hidden="1"/>
    <cellStyle name="Hipervínculo" xfId="863" builtinId="8" hidden="1"/>
    <cellStyle name="Hipervínculo" xfId="867" builtinId="8" hidden="1"/>
    <cellStyle name="Hipervínculo" xfId="881" builtinId="8" hidden="1"/>
    <cellStyle name="Hipervínculo" xfId="883" builtinId="8" hidden="1"/>
    <cellStyle name="Hipervínculo" xfId="887" builtinId="8" hidden="1"/>
    <cellStyle name="Hipervínculo" xfId="897" builtinId="8" hidden="1"/>
    <cellStyle name="Hipervínculo" xfId="899" builtinId="8" hidden="1"/>
    <cellStyle name="Hipervínculo" xfId="907" builtinId="8" hidden="1"/>
    <cellStyle name="Hipervínculo" xfId="919" builtinId="8" hidden="1"/>
    <cellStyle name="Hipervínculo" xfId="921" builtinId="8" hidden="1"/>
    <cellStyle name="Hipervínculo" xfId="923" builtinId="8" hidden="1"/>
    <cellStyle name="Hipervínculo" xfId="931" builtinId="8" hidden="1"/>
    <cellStyle name="Hipervínculo" xfId="943" builtinId="8" hidden="1"/>
    <cellStyle name="Hipervínculo" xfId="945" builtinId="8" hidden="1"/>
    <cellStyle name="Hipervínculo" xfId="953" builtinId="8" hidden="1"/>
    <cellStyle name="Hipervínculo" xfId="959" builtinId="8" hidden="1"/>
    <cellStyle name="Hipervínculo" xfId="961" builtinId="8" hidden="1"/>
    <cellStyle name="Hipervínculo" xfId="971" builtinId="8" hidden="1"/>
    <cellStyle name="Hipervínculo" xfId="979" builtinId="8" hidden="1"/>
    <cellStyle name="Hipervínculo" xfId="983" builtinId="8" hidden="1"/>
    <cellStyle name="Hipervínculo" xfId="991" builtinId="8" hidden="1"/>
    <cellStyle name="Hipervínculo" xfId="993" builtinId="8" hidden="1"/>
    <cellStyle name="Hipervínculo" xfId="969" builtinId="8" hidden="1"/>
    <cellStyle name="Hipervínculo" xfId="905" builtinId="8" hidden="1"/>
    <cellStyle name="Hipervínculo" xfId="873" builtinId="8" hidden="1"/>
    <cellStyle name="Hipervínculo" xfId="839" builtinId="8" hidden="1"/>
    <cellStyle name="Hipervínculo" xfId="775" builtinId="8" hidden="1"/>
    <cellStyle name="Hipervínculo" xfId="739" builtinId="8" hidden="1"/>
    <cellStyle name="Hipervínculo" xfId="711" builtinId="8" hidden="1"/>
    <cellStyle name="Hipervínculo" xfId="1083" builtinId="8" hidden="1"/>
    <cellStyle name="Hipervínculo" xfId="1191" builtinId="8" hidden="1"/>
    <cellStyle name="Hipervínculo" xfId="901" builtinId="8" hidden="1"/>
    <cellStyle name="Hipervínculo" xfId="239" builtinId="8" hidden="1"/>
    <cellStyle name="Hipervínculo" xfId="65" builtinId="8" hidden="1"/>
    <cellStyle name="Hipervínculo" xfId="71" builtinId="8" hidden="1"/>
    <cellStyle name="Hipervínculo" xfId="75" builtinId="8" hidden="1"/>
    <cellStyle name="Hipervínculo" xfId="83" builtinId="8" hidden="1"/>
    <cellStyle name="Hipervínculo" xfId="21" builtinId="8" hidden="1"/>
    <cellStyle name="Hipervínculo" xfId="29" builtinId="8" hidden="1"/>
    <cellStyle name="Hipervínculo" xfId="31" builtinId="8" hidden="1"/>
    <cellStyle name="Hipervínculo" xfId="37" builtinId="8" hidden="1"/>
    <cellStyle name="Hipervínculo" xfId="11" builtinId="8" hidden="1"/>
    <cellStyle name="Hipervínculo" xfId="17" builtinId="8" hidden="1"/>
    <cellStyle name="Hipervínculo" xfId="19" builtinId="8" hidden="1"/>
    <cellStyle name="Hipervínculo" xfId="3" builtinId="8" hidden="1"/>
    <cellStyle name="Hipervínculo" xfId="1" builtinId="8" hidden="1"/>
    <cellStyle name="Hipervínculo" xfId="5" builtinId="8" hidden="1"/>
    <cellStyle name="Hipervínculo" xfId="61" builtinId="8" hidden="1"/>
    <cellStyle name="Hipervínculo" xfId="69" builtinId="8" hidden="1"/>
    <cellStyle name="Hipervínculo" xfId="59" builtinId="8" hidden="1"/>
    <cellStyle name="Hipervínculo" xfId="157" builtinId="8" hidden="1"/>
    <cellStyle name="Hipervínculo" xfId="175" builtinId="8" hidden="1"/>
    <cellStyle name="Hipervínculo" xfId="167" builtinId="8" hidden="1"/>
    <cellStyle name="Hipervínculo" xfId="141" builtinId="8" hidden="1"/>
    <cellStyle name="Hipervínculo" xfId="133" builtinId="8" hidden="1"/>
    <cellStyle name="Hipervínculo" xfId="115" builtinId="8" hidden="1"/>
    <cellStyle name="Hipervínculo" xfId="99" builtinId="8" hidden="1"/>
    <cellStyle name="Hipervínculo" xfId="205" builtinId="8" hidden="1"/>
    <cellStyle name="Hipervínculo" xfId="269" builtinId="8" hidden="1"/>
    <cellStyle name="Hipervínculo" xfId="411" builtinId="8" hidden="1"/>
    <cellStyle name="Hipervínculo" xfId="403" builtinId="8" hidden="1"/>
    <cellStyle name="Hipervínculo" xfId="385" builtinId="8" hidden="1"/>
    <cellStyle name="Hipervínculo" xfId="367" builtinId="8" hidden="1"/>
    <cellStyle name="Hipervínculo" xfId="347" builtinId="8" hidden="1"/>
    <cellStyle name="Hipervínculo" xfId="339" builtinId="8" hidden="1"/>
    <cellStyle name="Hipervínculo" xfId="311" builtinId="8" hidden="1"/>
    <cellStyle name="Hipervínculo" xfId="303" builtinId="8" hidden="1"/>
    <cellStyle name="Hipervínculo" xfId="293" builtinId="8" hidden="1"/>
    <cellStyle name="Hipervínculo" xfId="27" builtinId="8" hidden="1"/>
    <cellStyle name="Hipervínculo" xfId="81" builtinId="8" hidden="1"/>
    <cellStyle name="Hipervínculo" xfId="131" builtinId="8" hidden="1"/>
    <cellStyle name="Hipervínculo" xfId="139" builtinId="8" hidden="1"/>
    <cellStyle name="Hipervínculo" xfId="143" builtinId="8" hidden="1"/>
    <cellStyle name="Hipervínculo" xfId="145" builtinId="8" hidden="1"/>
    <cellStyle name="Hipervínculo" xfId="153" builtinId="8" hidden="1"/>
    <cellStyle name="Hipervínculo" xfId="155" builtinId="8" hidden="1"/>
    <cellStyle name="Hipervínculo" xfId="163" builtinId="8" hidden="1"/>
    <cellStyle name="Hipervínculo" xfId="173" builtinId="8" hidden="1"/>
    <cellStyle name="Hipervínculo" xfId="177" builtinId="8" hidden="1"/>
    <cellStyle name="Hipervínculo" xfId="179" builtinId="8" hidden="1"/>
    <cellStyle name="Hipervínculo" xfId="93" builtinId="8" hidden="1"/>
    <cellStyle name="Hipervínculo" xfId="41" builtinId="8" hidden="1"/>
    <cellStyle name="Hipervínculo" xfId="47" builtinId="8" hidden="1"/>
    <cellStyle name="Hipervínculo" xfId="53" builtinId="8" hidden="1"/>
    <cellStyle name="Hipervínculo" xfId="57" builtinId="8" hidden="1"/>
    <cellStyle name="Hipervínculo" xfId="63" builtinId="8" hidden="1"/>
    <cellStyle name="Hipervínculo" xfId="95" builtinId="8" hidden="1"/>
    <cellStyle name="Hipervínculo" xfId="97" builtinId="8" hidden="1"/>
    <cellStyle name="Hipervínculo" xfId="101" builtinId="8" hidden="1"/>
    <cellStyle name="Hipervínculo" xfId="109" builtinId="8" hidden="1"/>
    <cellStyle name="Hipervínculo" xfId="111" builtinId="8" hidden="1"/>
    <cellStyle name="Hipervínculo" xfId="117" builtinId="8" hidden="1"/>
    <cellStyle name="Hipervínculo" xfId="121" builtinId="8" hidden="1"/>
    <cellStyle name="Hipervínculo" xfId="129" builtinId="8" hidden="1"/>
    <cellStyle name="Hipervínculo" xfId="253" builtinId="8" hidden="1"/>
    <cellStyle name="Hipervínculo" xfId="189" builtinId="8" hidden="1"/>
    <cellStyle name="Hipervínculo" xfId="85" builtinId="8" hidden="1"/>
    <cellStyle name="Hipervínculo" xfId="87" builtinId="8" hidden="1"/>
    <cellStyle name="Hipervínculo" xfId="317" builtinId="8" hidden="1"/>
    <cellStyle name="Hipervínculo" xfId="285" builtinId="8" hidden="1"/>
    <cellStyle name="Hipervínculo" xfId="365" builtinId="8" hidden="1"/>
    <cellStyle name="Hipervínculo" xfId="413" builtinId="8" hidden="1"/>
    <cellStyle name="Hipervínculo" xfId="349" builtinId="8" hidden="1"/>
    <cellStyle name="Hipervínculo" xfId="237" builtinId="8" hidden="1"/>
    <cellStyle name="Hipervínculo" xfId="119" builtinId="8" hidden="1"/>
    <cellStyle name="Hipervínculo" xfId="105" builtinId="8" hidden="1"/>
    <cellStyle name="Hipervínculo" xfId="169" builtinId="8" hidden="1"/>
    <cellStyle name="Hipervínculo" xfId="49" builtinId="8" hidden="1"/>
    <cellStyle name="Hipervínculo" xfId="125" builtinId="8" hidden="1"/>
    <cellStyle name="Hipervínculo" xfId="165" builtinId="8" hidden="1"/>
    <cellStyle name="Hipervínculo" xfId="151" builtinId="8" hidden="1"/>
    <cellStyle name="Hipervínculo" xfId="135" builtinId="8" hidden="1"/>
    <cellStyle name="Hipervínculo" xfId="333" builtinId="8" hidden="1"/>
    <cellStyle name="Hipervínculo" xfId="329" builtinId="8" hidden="1"/>
    <cellStyle name="Hipervínculo" xfId="375" builtinId="8" hidden="1"/>
    <cellStyle name="Hipervínculo" xfId="421" builtinId="8" hidden="1"/>
    <cellStyle name="Hipervínculo" xfId="107" builtinId="8" hidden="1"/>
    <cellStyle name="Hipervínculo" xfId="149" builtinId="8" hidden="1"/>
    <cellStyle name="Hipervínculo" xfId="51" builtinId="8" hidden="1"/>
    <cellStyle name="Hipervínculo" xfId="35" builtinId="8" hidden="1"/>
    <cellStyle name="Hipervínculo" xfId="7" builtinId="8" hidden="1"/>
    <cellStyle name="Hipervínculo" xfId="39" builtinId="8" hidden="1"/>
    <cellStyle name="Hipervínculo" xfId="25" builtinId="8" hidden="1"/>
    <cellStyle name="Hipervínculo" xfId="73" builtinId="8" hidden="1"/>
    <cellStyle name="Hipervínculo" xfId="549" builtinId="8" hidden="1"/>
    <cellStyle name="Hipervínculo" xfId="675" builtinId="8" hidden="1"/>
    <cellStyle name="Hipervínculo" xfId="809" builtinId="8" hidden="1"/>
    <cellStyle name="Hipervínculo" xfId="937" builtinId="8" hidden="1"/>
    <cellStyle name="Hipervínculo" xfId="985" builtinId="8" hidden="1"/>
    <cellStyle name="Hipervínculo" xfId="967" builtinId="8" hidden="1"/>
    <cellStyle name="Hipervínculo" xfId="947" builtinId="8" hidden="1"/>
    <cellStyle name="Hipervínculo" xfId="929" builtinId="8" hidden="1"/>
    <cellStyle name="Hipervínculo" xfId="911" builtinId="8" hidden="1"/>
    <cellStyle name="Hipervínculo" xfId="895" builtinId="8" hidden="1"/>
    <cellStyle name="Hipervínculo" xfId="875" builtinId="8" hidden="1"/>
    <cellStyle name="Hipervínculo" xfId="857" builtinId="8" hidden="1"/>
    <cellStyle name="Hipervínculo" xfId="835" builtinId="8" hidden="1"/>
    <cellStyle name="Hipervínculo" xfId="819" builtinId="8" hidden="1"/>
    <cellStyle name="Hipervínculo" xfId="799" builtinId="8" hidden="1"/>
    <cellStyle name="Hipervínculo" xfId="783" builtinId="8" hidden="1"/>
    <cellStyle name="Hipervínculo" xfId="761" builtinId="8" hidden="1"/>
    <cellStyle name="Hipervínculo" xfId="747" builtinId="8" hidden="1"/>
    <cellStyle name="Hipervínculo" xfId="727" builtinId="8" hidden="1"/>
    <cellStyle name="Hipervínculo" xfId="705" builtinId="8" hidden="1"/>
    <cellStyle name="Hipervínculo" xfId="689" builtinId="8" hidden="1"/>
    <cellStyle name="Hipervínculo" xfId="999" builtinId="8" hidden="1"/>
    <cellStyle name="Hipervínculo" xfId="1051" builtinId="8" hidden="1"/>
    <cellStyle name="Hipervínculo" xfId="1127" builtinId="8" hidden="1"/>
    <cellStyle name="Hipervínculo" xfId="1179" builtinId="8" hidden="1"/>
    <cellStyle name="Hipervínculo" xfId="1061" builtinId="8" hidden="1"/>
    <cellStyle name="Hipervínculo" xfId="869" builtinId="8" hidden="1"/>
    <cellStyle name="Hipervínculo" xfId="677" builtinId="8" hidden="1"/>
    <cellStyle name="Hipervínculo" xfId="485" builtinId="8" hidden="1"/>
    <cellStyle name="Hipervínculo" xfId="219" builtinId="8" hidden="1"/>
    <cellStyle name="Hipervínculo" xfId="275" builtinId="8" hidden="1"/>
    <cellStyle name="Hipervínculo" xfId="547" builtinId="8" hidden="1"/>
    <cellStyle name="Hipervínculo" xfId="609" builtinId="8" hidden="1"/>
    <cellStyle name="Hipervínculo" xfId="667" builtinId="8" hidden="1"/>
    <cellStyle name="Hipervínculo" xfId="531" builtinId="8" hidden="1"/>
    <cellStyle name="Hipervínculo" xfId="439" builtinId="8" hidden="1"/>
    <cellStyle name="Hipervínculo" xfId="639" builtinId="8" hidden="1"/>
    <cellStyle name="Hipervínculo" xfId="951" builtinId="8" hidden="1"/>
    <cellStyle name="Hipervínculo" xfId="755" builtinId="8" hidden="1"/>
    <cellStyle name="Hipervínculo" xfId="709" builtinId="8" hidden="1"/>
    <cellStyle name="Hipervínculo" xfId="9" builtinId="8" hidden="1"/>
    <cellStyle name="Hipervínculo" xfId="91" builtinId="8" hidden="1"/>
    <cellStyle name="Hipervínculo" xfId="717" builtinId="8" hidden="1"/>
    <cellStyle name="Hipervínculo" xfId="525" builtinId="8" hidden="1"/>
    <cellStyle name="Hipervínculo" xfId="209" builtinId="8" hidden="1"/>
    <cellStyle name="Hipervínculo" xfId="267" builtinId="8" hidden="1"/>
    <cellStyle name="Hipervínculo" xfId="323" builtinId="8" hidden="1"/>
    <cellStyle name="Hipervínculo" xfId="377" builtinId="8" hidden="1"/>
    <cellStyle name="Hipervínculo" xfId="383" builtinId="8" hidden="1"/>
    <cellStyle name="Hipervínculo" xfId="1153" builtinId="8" hidden="1"/>
    <cellStyle name="Hipervínculo" xfId="1181" builtinId="8" hidden="1"/>
    <cellStyle name="Hipervínculo" xfId="989" builtinId="8" hidden="1"/>
    <cellStyle name="Hipervínculo" xfId="1071" builtinId="8" hidden="1"/>
    <cellStyle name="Hipervínculo" xfId="1131" builtinId="8" hidden="1"/>
    <cellStyle name="Hipervínculo" xfId="1017" builtinId="8" hidden="1"/>
    <cellStyle name="Hipervínculo" xfId="1011" builtinId="8" hidden="1"/>
    <cellStyle name="Hipervínculo" xfId="1023" builtinId="8" hidden="1"/>
    <cellStyle name="Hipervínculo" xfId="1055" builtinId="8" hidden="1"/>
    <cellStyle name="Hipervínculo" xfId="1035" builtinId="8" hidden="1"/>
    <cellStyle name="Hipervínculo" xfId="1135" builtinId="8" hidden="1"/>
    <cellStyle name="Hipervínculo" xfId="1113" builtinId="8" hidden="1"/>
    <cellStyle name="Hipervínculo" xfId="1091" builtinId="8" hidden="1"/>
    <cellStyle name="Hipervínculo" xfId="1075" builtinId="8" hidden="1"/>
    <cellStyle name="Hipervínculo" xfId="877" builtinId="8" hidden="1"/>
    <cellStyle name="Hipervínculo" xfId="925" builtinId="8" hidden="1"/>
    <cellStyle name="Hipervínculo" xfId="981" builtinId="8" hidden="1"/>
    <cellStyle name="Hipervínculo" xfId="1053" builtinId="8" hidden="1"/>
    <cellStyle name="Hipervínculo" xfId="1109" builtinId="8" hidden="1"/>
    <cellStyle name="Hipervínculo" xfId="1165" builtinId="8" hidden="1"/>
    <cellStyle name="Hipervínculo" xfId="1195" builtinId="8" hidden="1"/>
    <cellStyle name="Hipervínculo" xfId="1177" builtinId="8" hidden="1"/>
    <cellStyle name="Hipervínculo" xfId="1155" builtinId="8" hidden="1"/>
    <cellStyle name="Hipervínculo" xfId="661" builtinId="8" hidden="1"/>
    <cellStyle name="Hipervínculo" xfId="235" builtinId="8" hidden="1"/>
    <cellStyle name="Hipervínculo" xfId="359" builtinId="8" hidden="1"/>
    <cellStyle name="Hipervínculo" xfId="793" builtinId="8" hidden="1"/>
    <cellStyle name="Hipervínculo" xfId="779" builtinId="8" hidden="1"/>
    <cellStyle name="Hipervínculo" xfId="769" builtinId="8" hidden="1"/>
    <cellStyle name="Hipervínculo" xfId="731" builtinId="8" hidden="1"/>
    <cellStyle name="Hipervínculo" xfId="719" builtinId="8" hidden="1"/>
    <cellStyle name="Hipervínculo" xfId="695" builtinId="8" hidden="1"/>
    <cellStyle name="Hipervínculo" xfId="683" builtinId="8" hidden="1"/>
    <cellStyle name="Hipervínculo" xfId="671" builtinId="8" hidden="1"/>
    <cellStyle name="Hipervínculo" xfId="1073" builtinId="8" hidden="1"/>
    <cellStyle name="Hipervínculo" xfId="1115" builtinId="8" hidden="1"/>
    <cellStyle name="Hipervínculo" xfId="1093" builtinId="8" hidden="1"/>
    <cellStyle name="Hipervínculo" xfId="965" builtinId="8" hidden="1"/>
    <cellStyle name="Hipervínculo" xfId="837" builtinId="8" hidden="1"/>
    <cellStyle name="Hipervínculo" xfId="581" builtinId="8" hidden="1"/>
    <cellStyle name="Hipervínculo" xfId="453" builtinId="8" hidden="1"/>
    <cellStyle name="Hipervínculo" xfId="211" builtinId="8" hidden="1"/>
    <cellStyle name="Hipervínculo" xfId="283" builtinId="8" hidden="1"/>
    <cellStyle name="Hipervínculo" xfId="357" builtinId="8" hidden="1"/>
    <cellStyle name="Hipervínculo" xfId="397" builtinId="8" hidden="1"/>
    <cellStyle name="Hipervínculo" xfId="89" builtinId="8" hidden="1"/>
    <cellStyle name="Hipervínculo" xfId="123" builtinId="8" hidden="1"/>
    <cellStyle name="Hipervínculo" xfId="43" builtinId="8" hidden="1"/>
    <cellStyle name="Hipervínculo" xfId="77" builtinId="8" hidden="1"/>
    <cellStyle name="Hipervínculo" xfId="13" builtinId="8" hidden="1"/>
    <cellStyle name="Hipervínculo" xfId="33" builtinId="8" hidden="1"/>
    <cellStyle name="Hipervínculo" xfId="23" builtinId="8" hidden="1"/>
    <cellStyle name="Hipervínculo" xfId="67" builtinId="8" hidden="1"/>
    <cellStyle name="Hipervínculo" xfId="55" builtinId="8" hidden="1"/>
    <cellStyle name="Hipervínculo" xfId="45" builtinId="8" hidden="1"/>
    <cellStyle name="Hipervínculo" xfId="171" builtinId="8" hidden="1"/>
    <cellStyle name="Hipervínculo" xfId="161" builtinId="8" hidden="1"/>
    <cellStyle name="Hipervínculo" xfId="127" builtinId="8" hidden="1"/>
    <cellStyle name="Hipervínculo" xfId="113" builtinId="8" hidden="1"/>
    <cellStyle name="Hipervínculo" xfId="103" builtinId="8" hidden="1"/>
    <cellStyle name="Hipervínculo" xfId="221" builtinId="8" hidden="1"/>
    <cellStyle name="Hipervínculo" xfId="301" builtinId="8" hidden="1"/>
    <cellStyle name="Hipervínculo" xfId="381" builtinId="8" hidden="1"/>
    <cellStyle name="Hipervínculo" xfId="853" builtinId="8" hidden="1"/>
    <cellStyle name="Hipervínculo" xfId="821" builtinId="8" hidden="1"/>
    <cellStyle name="Hipervínculo" xfId="797" builtinId="8" hidden="1"/>
    <cellStyle name="Hipervínculo" xfId="789" builtinId="8" hidden="1"/>
    <cellStyle name="Hipervínculo" xfId="781" builtinId="8" hidden="1"/>
    <cellStyle name="Hipervínculo" xfId="757" builtinId="8" hidden="1"/>
    <cellStyle name="Hipervínculo" xfId="733" builtinId="8" hidden="1"/>
    <cellStyle name="Hipervínculo" xfId="725" builtinId="8" hidden="1"/>
    <cellStyle name="Hipervínculo" xfId="693" builtinId="8" hidden="1"/>
    <cellStyle name="Hipervínculo" xfId="685" builtinId="8" hidden="1"/>
    <cellStyle name="Hipervínculo" xfId="653" builtinId="8" hidden="1"/>
    <cellStyle name="Hipervínculo" xfId="637" builtinId="8" hidden="1"/>
    <cellStyle name="Hipervínculo" xfId="629" builtinId="8" hidden="1"/>
    <cellStyle name="Hipervínculo" xfId="605" builtinId="8" hidden="1"/>
    <cellStyle name="Hipervínculo" xfId="597" builtinId="8" hidden="1"/>
    <cellStyle name="Hipervínculo" xfId="557" builtinId="8" hidden="1"/>
    <cellStyle name="Hipervínculo" xfId="541" builtinId="8" hidden="1"/>
    <cellStyle name="Hipervínculo" xfId="533" builtinId="8" hidden="1"/>
    <cellStyle name="Hipervínculo" xfId="509" builtinId="8" hidden="1"/>
    <cellStyle name="Hipervínculo" xfId="501" builtinId="8" hidden="1"/>
    <cellStyle name="Hipervínculo" xfId="477" builtinId="8" hidden="1"/>
    <cellStyle name="Hipervínculo" xfId="461" builtinId="8" hidden="1"/>
    <cellStyle name="Hipervínculo" xfId="437" builtinId="8" hidden="1"/>
    <cellStyle name="Hipervínculo" xfId="185" builtinId="8" hidden="1"/>
    <cellStyle name="Hipervínculo" xfId="191" builtinId="8" hidden="1"/>
    <cellStyle name="Hipervínculo" xfId="195" builtinId="8" hidden="1"/>
    <cellStyle name="Hipervínculo" xfId="199" builtinId="8" hidden="1"/>
    <cellStyle name="Hipervínculo" xfId="203" builtinId="8" hidden="1"/>
    <cellStyle name="Hipervínculo" xfId="207" builtinId="8" hidden="1"/>
    <cellStyle name="Hipervínculo" xfId="217" builtinId="8" hidden="1"/>
    <cellStyle name="Hipervínculo" xfId="223" builtinId="8" hidden="1"/>
    <cellStyle name="Hipervínculo" xfId="227" builtinId="8" hidden="1"/>
    <cellStyle name="Hipervínculo" xfId="231" builtinId="8" hidden="1"/>
    <cellStyle name="Hipervínculo" xfId="233" builtinId="8" hidden="1"/>
    <cellStyle name="Hipervínculo" xfId="243" builtinId="8" hidden="1"/>
    <cellStyle name="Hipervínculo" xfId="245" builtinId="8" hidden="1"/>
    <cellStyle name="Hipervínculo" xfId="255" builtinId="8" hidden="1"/>
    <cellStyle name="Hipervínculo" xfId="259" builtinId="8" hidden="1"/>
    <cellStyle name="Hipervínculo" xfId="263" builtinId="8" hidden="1"/>
    <cellStyle name="Hipervínculo" xfId="271" builtinId="8" hidden="1"/>
    <cellStyle name="Hipervínculo" xfId="273" builtinId="8" hidden="1"/>
    <cellStyle name="Hipervínculo" xfId="277" builtinId="8" hidden="1"/>
    <cellStyle name="Hipervínculo" xfId="281" builtinId="8" hidden="1"/>
    <cellStyle name="Hipervínculo" xfId="291" builtinId="8" hidden="1"/>
    <cellStyle name="Hipervínculo" xfId="297" builtinId="8" hidden="1"/>
    <cellStyle name="Hipervínculo" xfId="299" builtinId="8" hidden="1"/>
    <cellStyle name="Hipervínculo" xfId="305" builtinId="8" hidden="1"/>
    <cellStyle name="Hipervínculo" xfId="313" builtinId="8" hidden="1"/>
    <cellStyle name="Hipervínculo" xfId="315" builtinId="8" hidden="1"/>
    <cellStyle name="Hipervínculo" xfId="319" builtinId="8" hidden="1"/>
    <cellStyle name="Hipervínculo" xfId="327" builtinId="8" hidden="1"/>
    <cellStyle name="Hipervínculo" xfId="331" builtinId="8" hidden="1"/>
    <cellStyle name="Hipervínculo" xfId="341" builtinId="8" hidden="1"/>
    <cellStyle name="Hipervínculo" xfId="343" builtinId="8" hidden="1"/>
    <cellStyle name="Hipervínculo" xfId="345" builtinId="8" hidden="1"/>
    <cellStyle name="Hipervínculo" xfId="353" builtinId="8" hidden="1"/>
    <cellStyle name="Hipervínculo" xfId="355" builtinId="8" hidden="1"/>
    <cellStyle name="Hipervínculo" xfId="369" builtinId="8" hidden="1"/>
    <cellStyle name="Hipervínculo" xfId="371" builtinId="8" hidden="1"/>
    <cellStyle name="Hipervínculo" xfId="373" builtinId="8" hidden="1"/>
    <cellStyle name="Hipervínculo" xfId="379" builtinId="8" hidden="1"/>
    <cellStyle name="Hipervínculo" xfId="387" builtinId="8" hidden="1"/>
    <cellStyle name="Hipervínculo" xfId="389" builtinId="8" hidden="1"/>
    <cellStyle name="Hipervínculo" xfId="395" builtinId="8" hidden="1"/>
    <cellStyle name="Hipervínculo" xfId="401" builtinId="8" hidden="1"/>
    <cellStyle name="Hipervínculo" xfId="409" builtinId="8" hidden="1"/>
    <cellStyle name="Hipervínculo" xfId="415" builtinId="8" hidden="1"/>
    <cellStyle name="Hipervínculo" xfId="417" builtinId="8" hidden="1"/>
    <cellStyle name="Hipervínculo" xfId="423" builtinId="8" hidden="1"/>
    <cellStyle name="Hipervínculo" xfId="425" builtinId="8" hidden="1"/>
    <cellStyle name="Hipervínculo" xfId="399" builtinId="8" hidden="1"/>
    <cellStyle name="Hipervínculo" xfId="361" builtinId="8" hidden="1"/>
    <cellStyle name="Hipervínculo" xfId="325" builtinId="8" hidden="1"/>
    <cellStyle name="Hipervínculo" xfId="289" builtinId="8" hidden="1"/>
    <cellStyle name="Hipervínculo" xfId="249" builtinId="8" hidden="1"/>
    <cellStyle name="Hipervínculo" xfId="215" builtinId="8" hidden="1"/>
    <cellStyle name="Hipervínculo" xfId="445" builtinId="8" hidden="1"/>
    <cellStyle name="Hipervínculo" xfId="589" builtinId="8" hidden="1"/>
    <cellStyle name="Hipervínculo" xfId="701" builtinId="8" hidden="1"/>
    <cellStyle name="Hipervínculo" xfId="845" builtinId="8" hidden="1"/>
    <cellStyle name="Hipervínculo" xfId="147" builtinId="8" hidden="1"/>
    <cellStyle name="Hipervínculo" xfId="15" builtinId="8" hidden="1"/>
    <cellStyle name="Hipervínculo" xfId="321" builtinId="8" hidden="1"/>
    <cellStyle name="Hipervínculo" xfId="1159" builtinId="8" hidden="1"/>
    <cellStyle name="Hipervínculo" xfId="745" builtinId="8" hidden="1"/>
    <cellStyle name="Hipervínculo" xfId="513" builtinId="8" hidden="1"/>
    <cellStyle name="Hipervínculo" xfId="521" builtinId="8" hidden="1"/>
    <cellStyle name="Hipervínculo" xfId="523" builtinId="8" hidden="1"/>
    <cellStyle name="Hipervínculo" xfId="527" builtinId="8" hidden="1"/>
    <cellStyle name="Hipervínculo" xfId="537" builtinId="8" hidden="1"/>
    <cellStyle name="Hipervínculo" xfId="455" builtinId="8" hidden="1"/>
    <cellStyle name="Hipervínculo" xfId="459" builtinId="8" hidden="1"/>
    <cellStyle name="Hipervínculo" xfId="465" builtinId="8" hidden="1"/>
    <cellStyle name="Hipervínculo" xfId="467" builtinId="8" hidden="1"/>
    <cellStyle name="Hipervínculo" xfId="475" builtinId="8" hidden="1"/>
    <cellStyle name="Hipervínculo" xfId="479" builtinId="8" hidden="1"/>
    <cellStyle name="Hipervínculo" xfId="441" builtinId="8" hidden="1"/>
    <cellStyle name="Hipervínculo" xfId="449" builtinId="8" hidden="1"/>
    <cellStyle name="Hipervínculo" xfId="451" builtinId="8" hidden="1"/>
    <cellStyle name="Hipervínculo" xfId="435" builtinId="8" hidden="1"/>
    <cellStyle name="Hipervínculo" xfId="431" builtinId="8" hidden="1"/>
    <cellStyle name="Hipervínculo" xfId="427" builtinId="8" hidden="1"/>
    <cellStyle name="Hipervínculo" xfId="433" builtinId="8" hidden="1"/>
    <cellStyle name="Hipervínculo" xfId="473" builtinId="8" hidden="1"/>
    <cellStyle name="Hipervínculo" xfId="507" builtinId="8" hidden="1"/>
    <cellStyle name="Hipervínculo" xfId="519" builtinId="8" hidden="1"/>
    <cellStyle name="Hipervínculo" xfId="505" builtinId="8" hidden="1"/>
    <cellStyle name="Hipervínculo" xfId="495" builtinId="8" hidden="1"/>
    <cellStyle name="Hipervínculo" xfId="635" builtinId="8" hidden="1"/>
    <cellStyle name="Hipervínculo" xfId="659" builtinId="8" hidden="1"/>
    <cellStyle name="Hipervínculo" xfId="649" builtinId="8" hidden="1"/>
    <cellStyle name="Hipervínculo" xfId="625" builtinId="8" hidden="1"/>
    <cellStyle name="Hipervínculo" xfId="615" builtinId="8" hidden="1"/>
    <cellStyle name="Hipervínculo" xfId="603" builtinId="8" hidden="1"/>
    <cellStyle name="Hipervínculo" xfId="579" builtinId="8" hidden="1"/>
    <cellStyle name="Hipervínculo" xfId="569" builtinId="8" hidden="1"/>
    <cellStyle name="Hipervínculo" xfId="559" builtinId="8" hidden="1"/>
    <cellStyle name="Hipervínculo" xfId="699" builtinId="8" hidden="1"/>
    <cellStyle name="Hipervínculo" xfId="785" builtinId="8" hidden="1"/>
    <cellStyle name="Hipervínculo" xfId="987" builtinId="8" hidden="1"/>
    <cellStyle name="Hipervínculo" xfId="975" builtinId="8" hidden="1"/>
    <cellStyle name="Hipervínculo" xfId="963" builtinId="8" hidden="1"/>
    <cellStyle name="Hipervínculo" xfId="939" builtinId="8" hidden="1"/>
    <cellStyle name="Hipervínculo" xfId="927" builtinId="8" hidden="1"/>
    <cellStyle name="Hipervínculo" xfId="915" builtinId="8" hidden="1"/>
    <cellStyle name="Hipervínculo" xfId="889" builtinId="8" hidden="1"/>
    <cellStyle name="Hipervínculo" xfId="879" builtinId="8" hidden="1"/>
    <cellStyle name="Hipervínculo" xfId="865" builtinId="8" hidden="1"/>
    <cellStyle name="Hipervínculo" xfId="841" builtinId="8" hidden="1"/>
    <cellStyle name="Hipervínculo" xfId="831" builtinId="8" hidden="1"/>
    <cellStyle name="Hipervínculo" xfId="817" builtinId="8" hidden="1"/>
    <cellStyle name="Hipervínculo" xfId="871" builtinId="8" hidden="1"/>
    <cellStyle name="Hipervínculo" xfId="463" builtinId="8" hidden="1"/>
    <cellStyle name="Hipervínculo" xfId="535" builtinId="8" hidden="1"/>
    <cellStyle name="Hipervínculo" xfId="601" builtinId="8" hidden="1"/>
    <cellStyle name="Hipervínculo" xfId="607" builtinId="8" hidden="1"/>
    <cellStyle name="Hipervínculo" xfId="611" builtinId="8" hidden="1"/>
    <cellStyle name="Hipervínculo" xfId="617" builtinId="8" hidden="1"/>
    <cellStyle name="Hipervínculo" xfId="619" builtinId="8" hidden="1"/>
    <cellStyle name="Hipervínculo" xfId="627" builtinId="8" hidden="1"/>
    <cellStyle name="Hipervínculo" xfId="631" builtinId="8" hidden="1"/>
    <cellStyle name="Hipervínculo" xfId="633" builtinId="8" hidden="1"/>
    <cellStyle name="Hipervínculo" xfId="643" builtinId="8" hidden="1"/>
    <cellStyle name="Hipervínculo" xfId="647" builtinId="8" hidden="1"/>
    <cellStyle name="Hipervínculo" xfId="657" builtinId="8" hidden="1"/>
    <cellStyle name="Hipervínculo" xfId="663" builtinId="8" hidden="1"/>
    <cellStyle name="Hipervínculo" xfId="665" builtinId="8" hidden="1"/>
    <cellStyle name="Hipervínculo" xfId="593" builtinId="8" hidden="1"/>
    <cellStyle name="Hipervínculo" xfId="551" builtinId="8" hidden="1"/>
    <cellStyle name="Hipervínculo" xfId="481" builtinId="8" hidden="1"/>
    <cellStyle name="Hipervínculo" xfId="489" builtinId="8" hidden="1"/>
    <cellStyle name="Hipervínculo" xfId="491" builtinId="8" hidden="1"/>
    <cellStyle name="Hipervínculo" xfId="497" builtinId="8" hidden="1"/>
    <cellStyle name="Hipervínculo" xfId="503" builtinId="8" hidden="1"/>
    <cellStyle name="Hipervínculo" xfId="511" builtinId="8" hidden="1"/>
    <cellStyle name="Hipervínculo" xfId="651" builtinId="8" hidden="1"/>
    <cellStyle name="Hipervínculo" xfId="553" builtinId="8" hidden="1"/>
    <cellStyle name="Hipervínculo" xfId="555" builtinId="8" hidden="1"/>
    <cellStyle name="Hipervínculo" xfId="561" builtinId="8" hidden="1"/>
    <cellStyle name="Hipervínculo" xfId="567" builtinId="8" hidden="1"/>
    <cellStyle name="Hipervínculo" xfId="571" builtinId="8" hidden="1"/>
    <cellStyle name="Hipervínculo" xfId="575" builtinId="8" hidden="1"/>
    <cellStyle name="Hipervínculo" xfId="583" builtinId="8" hidden="1"/>
    <cellStyle name="Hipervínculo" xfId="585" builtinId="8" hidden="1"/>
    <cellStyle name="Hipervínculo" xfId="587" builtinId="8" hidden="1"/>
    <cellStyle name="Hipervínculo" xfId="599" builtinId="8" hidden="1"/>
    <cellStyle name="Hipervínculo" xfId="763" builtinId="8" hidden="1"/>
    <cellStyle name="Hipervínculo" xfId="743" builtinId="8" hidden="1"/>
    <cellStyle name="Hipervínculo" xfId="679" builtinId="8" hidden="1"/>
    <cellStyle name="Hipervínculo" xfId="539" builtinId="8" hidden="1"/>
    <cellStyle name="Hipervínculo" xfId="543" builtinId="8" hidden="1"/>
    <cellStyle name="Hipervínculo" xfId="891" builtinId="8" hidden="1"/>
    <cellStyle name="Hipervínculo" xfId="849" builtinId="8" hidden="1"/>
    <cellStyle name="Hipervínculo" xfId="807" builtinId="8" hidden="1"/>
    <cellStyle name="Hipervínculo" xfId="913" builtinId="8" hidden="1"/>
    <cellStyle name="Hipervínculo" xfId="977" builtinId="8" hidden="1"/>
    <cellStyle name="Hipervínculo visitado" xfId="366" builtinId="9" hidden="1"/>
    <cellStyle name="Hipervínculo visitado" xfId="302" builtinId="9" hidden="1"/>
    <cellStyle name="Hipervínculo visitado" xfId="238" builtinId="9" hidden="1"/>
    <cellStyle name="Hipervínculo visitado" xfId="174" builtinId="9" hidden="1"/>
    <cellStyle name="Hipervínculo visitado" xfId="110" builtinId="9" hidden="1"/>
    <cellStyle name="Hipervínculo visitado" xfId="34" builtinId="9" hidden="1"/>
    <cellStyle name="Hipervínculo visitado" xfId="30" builtinId="9" hidden="1"/>
    <cellStyle name="Hipervínculo visitado" xfId="14" builtinId="9" hidden="1"/>
    <cellStyle name="Hipervínculo visitado" xfId="52" builtinId="9" hidden="1"/>
    <cellStyle name="Hipervínculo visitado" xfId="82" builtinId="9" hidden="1"/>
    <cellStyle name="Hipervínculo visitado" xfId="146" builtinId="9" hidden="1"/>
    <cellStyle name="Hipervínculo visitado" xfId="210" builtinId="9" hidden="1"/>
    <cellStyle name="Hipervínculo visitado" xfId="274" builtinId="9" hidden="1"/>
    <cellStyle name="Hipervínculo visitado" xfId="338" builtinId="9" hidden="1"/>
    <cellStyle name="Hipervínculo visitado" xfId="402" builtinId="9" hidden="1"/>
    <cellStyle name="Hipervínculo visitado" xfId="466" builtinId="9" hidden="1"/>
    <cellStyle name="Hipervínculo visitado" xfId="530" builtinId="9" hidden="1"/>
    <cellStyle name="Hipervínculo visitado" xfId="594" builtinId="9" hidden="1"/>
    <cellStyle name="Hipervínculo visitado" xfId="658" builtinId="9" hidden="1"/>
    <cellStyle name="Hipervínculo visitado" xfId="722" builtinId="9" hidden="1"/>
    <cellStyle name="Hipervínculo visitado" xfId="786" builtinId="9" hidden="1"/>
    <cellStyle name="Hipervínculo visitado" xfId="850" builtinId="9" hidden="1"/>
    <cellStyle name="Hipervínculo visitado" xfId="914" builtinId="9" hidden="1"/>
    <cellStyle name="Hipervínculo visitado" xfId="978" builtinId="9" hidden="1"/>
    <cellStyle name="Hipervínculo visitado" xfId="1042" builtinId="9" hidden="1"/>
    <cellStyle name="Hipervínculo visitado" xfId="1106" builtinId="9" hidden="1"/>
    <cellStyle name="Hipervínculo visitado" xfId="1170" builtinId="9" hidden="1"/>
    <cellStyle name="Hipervínculo visitado" xfId="1180" builtinId="9" hidden="1"/>
    <cellStyle name="Hipervínculo visitado" xfId="1116" builtinId="9" hidden="1"/>
    <cellStyle name="Hipervínculo visitado" xfId="1052" builtinId="9" hidden="1"/>
    <cellStyle name="Hipervínculo visitado" xfId="988" builtinId="9" hidden="1"/>
    <cellStyle name="Hipervínculo visitado" xfId="924" builtinId="9" hidden="1"/>
    <cellStyle name="Hipervínculo visitado" xfId="860" builtinId="9" hidden="1"/>
    <cellStyle name="Hipervínculo visitado" xfId="796" builtinId="9" hidden="1"/>
    <cellStyle name="Hipervínculo visitado" xfId="732" builtinId="9" hidden="1"/>
    <cellStyle name="Hipervínculo visitado" xfId="668" builtinId="9" hidden="1"/>
    <cellStyle name="Hipervínculo visitado" xfId="604" builtinId="9" hidden="1"/>
    <cellStyle name="Hipervínculo visitado" xfId="540" builtinId="9" hidden="1"/>
    <cellStyle name="Hipervínculo visitado" xfId="476" builtinId="9" hidden="1"/>
    <cellStyle name="Hipervínculo visitado" xfId="412" builtinId="9" hidden="1"/>
    <cellStyle name="Hipervínculo visitado" xfId="348" builtinId="9" hidden="1"/>
    <cellStyle name="Hipervínculo visitado" xfId="284" builtinId="9" hidden="1"/>
    <cellStyle name="Hipervínculo visitado" xfId="220" builtinId="9" hidden="1"/>
    <cellStyle name="Hipervínculo visitado" xfId="132" builtinId="9" hidden="1"/>
    <cellStyle name="Hipervínculo visitado" xfId="176" builtinId="9" hidden="1"/>
    <cellStyle name="Hipervínculo visitado" xfId="124" builtinId="9" hidden="1"/>
    <cellStyle name="Hipervínculo visitado" xfId="76" builtinId="9" hidden="1"/>
    <cellStyle name="Hipervínculo visitado" xfId="92" builtinId="9" hidden="1"/>
    <cellStyle name="Hipervínculo visitado" xfId="140" builtinId="9" hidden="1"/>
    <cellStyle name="Hipervínculo visitado" xfId="168" builtinId="9" hidden="1"/>
    <cellStyle name="Hipervínculo visitado" xfId="128" builtinId="9" hidden="1"/>
    <cellStyle name="Hipervínculo visitado" xfId="228" builtinId="9" hidden="1"/>
    <cellStyle name="Hipervínculo visitado" xfId="292" builtinId="9" hidden="1"/>
    <cellStyle name="Hipervínculo visitado" xfId="356" builtinId="9" hidden="1"/>
    <cellStyle name="Hipervínculo visitado" xfId="420" builtinId="9" hidden="1"/>
    <cellStyle name="Hipervínculo visitado" xfId="484" builtinId="9" hidden="1"/>
    <cellStyle name="Hipervínculo visitado" xfId="548" builtinId="9" hidden="1"/>
    <cellStyle name="Hipervínculo visitado" xfId="612" builtinId="9" hidden="1"/>
    <cellStyle name="Hipervínculo visitado" xfId="676" builtinId="9" hidden="1"/>
    <cellStyle name="Hipervínculo visitado" xfId="740" builtinId="9" hidden="1"/>
    <cellStyle name="Hipervínculo visitado" xfId="804" builtinId="9" hidden="1"/>
    <cellStyle name="Hipervínculo visitado" xfId="868" builtinId="9" hidden="1"/>
    <cellStyle name="Hipervínculo visitado" xfId="932" builtinId="9" hidden="1"/>
    <cellStyle name="Hipervínculo visitado" xfId="996" builtinId="9" hidden="1"/>
    <cellStyle name="Hipervínculo visitado" xfId="1060" builtinId="9" hidden="1"/>
    <cellStyle name="Hipervínculo visitado" xfId="1124" builtinId="9" hidden="1"/>
    <cellStyle name="Hipervínculo visitado" xfId="1188" builtinId="9" hidden="1"/>
    <cellStyle name="Hipervínculo visitado" xfId="1162" builtinId="9" hidden="1"/>
    <cellStyle name="Hipervínculo visitado" xfId="1098" builtinId="9" hidden="1"/>
    <cellStyle name="Hipervínculo visitado" xfId="1034" builtinId="9" hidden="1"/>
    <cellStyle name="Hipervínculo visitado" xfId="970" builtinId="9" hidden="1"/>
    <cellStyle name="Hipervínculo visitado" xfId="906" builtinId="9" hidden="1"/>
    <cellStyle name="Hipervínculo visitado" xfId="842" builtinId="9" hidden="1"/>
    <cellStyle name="Hipervínculo visitado" xfId="778" builtinId="9" hidden="1"/>
    <cellStyle name="Hipervínculo visitado" xfId="714" builtinId="9" hidden="1"/>
    <cellStyle name="Hipervínculo visitado" xfId="650" builtinId="9" hidden="1"/>
    <cellStyle name="Hipervínculo visitado" xfId="586" builtinId="9" hidden="1"/>
    <cellStyle name="Hipervínculo visitado" xfId="522" builtinId="9" hidden="1"/>
    <cellStyle name="Hipervínculo visitado" xfId="458" builtinId="9" hidden="1"/>
    <cellStyle name="Hipervínculo visitado" xfId="394" builtinId="9" hidden="1"/>
    <cellStyle name="Hipervínculo visitado" xfId="330" builtinId="9" hidden="1"/>
    <cellStyle name="Hipervínculo visitado" xfId="266" builtinId="9" hidden="1"/>
    <cellStyle name="Hipervínculo visitado" xfId="202" builtinId="9" hidden="1"/>
    <cellStyle name="Hipervínculo visitado" xfId="138" builtinId="9" hidden="1"/>
    <cellStyle name="Hipervínculo visitado" xfId="74" builtinId="9" hidden="1"/>
    <cellStyle name="Hipervínculo visitado" xfId="58" builtinId="9" hidden="1"/>
    <cellStyle name="Hipervínculo visitado" xfId="8" builtinId="9" hidden="1"/>
    <cellStyle name="Hipervínculo visitado" xfId="46" builtinId="9" hidden="1"/>
    <cellStyle name="Hipervínculo visitado" xfId="28" builtinId="9" hidden="1"/>
    <cellStyle name="Hipervínculo visitado" xfId="118" builtinId="9" hidden="1"/>
    <cellStyle name="Hipervínculo visitado" xfId="182" builtinId="9" hidden="1"/>
    <cellStyle name="Hipervínculo visitado" xfId="246" builtinId="9" hidden="1"/>
    <cellStyle name="Hipervínculo visitado" xfId="310" builtinId="9" hidden="1"/>
    <cellStyle name="Hipervínculo visitado" xfId="374" builtinId="9" hidden="1"/>
    <cellStyle name="Hipervínculo visitado" xfId="438" builtinId="9" hidden="1"/>
    <cellStyle name="Hipervínculo visitado" xfId="502" builtinId="9" hidden="1"/>
    <cellStyle name="Hipervínculo visitado" xfId="566" builtinId="9" hidden="1"/>
    <cellStyle name="Hipervínculo visitado" xfId="630" builtinId="9" hidden="1"/>
    <cellStyle name="Hipervínculo visitado" xfId="694" builtinId="9" hidden="1"/>
    <cellStyle name="Hipervínculo visitado" xfId="758" builtinId="9" hidden="1"/>
    <cellStyle name="Hipervínculo visitado" xfId="822" builtinId="9" hidden="1"/>
    <cellStyle name="Hipervínculo visitado" xfId="886" builtinId="9" hidden="1"/>
    <cellStyle name="Hipervínculo visitado" xfId="950" builtinId="9" hidden="1"/>
    <cellStyle name="Hipervínculo visitado" xfId="1014" builtinId="9" hidden="1"/>
    <cellStyle name="Hipervínculo visitado" xfId="1078" builtinId="9" hidden="1"/>
    <cellStyle name="Hipervínculo visitado" xfId="1142" builtinId="9" hidden="1"/>
    <cellStyle name="Hipervínculo visitado" xfId="1206" builtinId="9" hidden="1"/>
    <cellStyle name="Hipervínculo visitado" xfId="1144" builtinId="9" hidden="1"/>
    <cellStyle name="Hipervínculo visitado" xfId="1080" builtinId="9" hidden="1"/>
    <cellStyle name="Hipervínculo visitado" xfId="1016" builtinId="9" hidden="1"/>
    <cellStyle name="Hipervínculo visitado" xfId="952" builtinId="9" hidden="1"/>
    <cellStyle name="Hipervínculo visitado" xfId="888" builtinId="9" hidden="1"/>
    <cellStyle name="Hipervínculo visitado" xfId="824" builtinId="9" hidden="1"/>
    <cellStyle name="Hipervínculo visitado" xfId="760" builtinId="9" hidden="1"/>
    <cellStyle name="Hipervínculo visitado" xfId="696" builtinId="9" hidden="1"/>
    <cellStyle name="Hipervínculo visitado" xfId="632" builtinId="9" hidden="1"/>
    <cellStyle name="Hipervínculo visitado" xfId="568" builtinId="9" hidden="1"/>
    <cellStyle name="Hipervínculo visitado" xfId="504" builtinId="9" hidden="1"/>
    <cellStyle name="Hipervínculo visitado" xfId="288" builtinId="9" hidden="1"/>
    <cellStyle name="Hipervínculo visitado" xfId="328" builtinId="9" hidden="1"/>
    <cellStyle name="Hipervínculo visitado" xfId="368" builtinId="9" hidden="1"/>
    <cellStyle name="Hipervínculo visitado" xfId="416" builtinId="9" hidden="1"/>
    <cellStyle name="Hipervínculo visitado" xfId="440" builtinId="9" hidden="1"/>
    <cellStyle name="Hipervínculo visitado" xfId="312" builtinId="9" hidden="1"/>
    <cellStyle name="Hipervínculo visitado" xfId="256" builtinId="9" hidden="1"/>
    <cellStyle name="Hipervínculo visitado" xfId="216" builtinId="9" hidden="1"/>
    <cellStyle name="Hipervínculo visitado" xfId="200" builtinId="9" hidden="1"/>
    <cellStyle name="Hipervínculo visitado" xfId="248" builtinId="9" hidden="1"/>
    <cellStyle name="Hipervínculo visitado" xfId="240" builtinId="9" hidden="1"/>
    <cellStyle name="Hipervínculo visitado" xfId="344" builtinId="9" hidden="1"/>
    <cellStyle name="Hipervínculo visitado" xfId="448" builtinId="9" hidden="1"/>
    <cellStyle name="Hipervínculo visitado" xfId="400" builtinId="9" hidden="1"/>
    <cellStyle name="Hipervínculo visitado" xfId="360" builtinId="9" hidden="1"/>
    <cellStyle name="Hipervínculo visitado" xfId="320" builtinId="9" hidden="1"/>
    <cellStyle name="Hipervínculo visitado" xfId="456" builtinId="9" hidden="1"/>
    <cellStyle name="Hipervínculo visitado" xfId="520" builtinId="9" hidden="1"/>
    <cellStyle name="Hipervínculo visitado" xfId="584" builtinId="9" hidden="1"/>
    <cellStyle name="Hipervínculo visitado" xfId="648" builtinId="9" hidden="1"/>
    <cellStyle name="Hipervínculo visitado" xfId="712" builtinId="9" hidden="1"/>
    <cellStyle name="Hipervínculo visitado" xfId="776" builtinId="9" hidden="1"/>
    <cellStyle name="Hipervínculo visitado" xfId="840" builtinId="9" hidden="1"/>
    <cellStyle name="Hipervínculo visitado" xfId="904" builtinId="9" hidden="1"/>
    <cellStyle name="Hipervínculo visitado" xfId="968" builtinId="9" hidden="1"/>
    <cellStyle name="Hipervínculo visitado" xfId="1032" builtinId="9" hidden="1"/>
    <cellStyle name="Hipervínculo visitado" xfId="1096" builtinId="9" hidden="1"/>
    <cellStyle name="Hipervínculo visitado" xfId="1160" builtinId="9" hidden="1"/>
    <cellStyle name="Hipervínculo visitado" xfId="1190" builtinId="9" hidden="1"/>
    <cellStyle name="Hipervínculo visitado" xfId="1126" builtinId="9" hidden="1"/>
    <cellStyle name="Hipervínculo visitado" xfId="1062" builtinId="9" hidden="1"/>
    <cellStyle name="Hipervínculo visitado" xfId="998" builtinId="9" hidden="1"/>
    <cellStyle name="Hipervínculo visitado" xfId="934" builtinId="9" hidden="1"/>
    <cellStyle name="Hipervínculo visitado" xfId="870" builtinId="9" hidden="1"/>
    <cellStyle name="Hipervínculo visitado" xfId="806" builtinId="9" hidden="1"/>
    <cellStyle name="Hipervínculo visitado" xfId="742" builtinId="9" hidden="1"/>
    <cellStyle name="Hipervínculo visitado" xfId="678" builtinId="9" hidden="1"/>
    <cellStyle name="Hipervínculo visitado" xfId="614" builtinId="9" hidden="1"/>
    <cellStyle name="Hipervínculo visitado" xfId="550" builtinId="9" hidden="1"/>
    <cellStyle name="Hipervínculo visitado" xfId="486" builtinId="9" hidden="1"/>
    <cellStyle name="Hipervínculo visitado" xfId="422" builtinId="9" hidden="1"/>
    <cellStyle name="Hipervínculo visitado" xfId="358" builtinId="9" hidden="1"/>
    <cellStyle name="Hipervínculo visitado" xfId="294" builtinId="9" hidden="1"/>
    <cellStyle name="Hipervínculo visitado" xfId="230" builtinId="9" hidden="1"/>
    <cellStyle name="Hipervínculo visitado" xfId="166" builtinId="9" hidden="1"/>
    <cellStyle name="Hipervínculo visitado" xfId="102" builtinId="9" hidden="1"/>
    <cellStyle name="Hipervínculo visitado" xfId="40" builtinId="9" hidden="1"/>
    <cellStyle name="Hipervínculo visitado" xfId="10" builtinId="9" hidden="1"/>
    <cellStyle name="Hipervínculo visitado" xfId="18" builtinId="9" hidden="1"/>
    <cellStyle name="Hipervínculo visitado" xfId="48" builtinId="9" hidden="1"/>
    <cellStyle name="Hipervínculo visitado" xfId="90" builtinId="9" hidden="1"/>
    <cellStyle name="Hipervínculo visitado" xfId="154" builtinId="9" hidden="1"/>
    <cellStyle name="Hipervínculo visitado" xfId="218" builtinId="9" hidden="1"/>
    <cellStyle name="Hipervínculo visitado" xfId="282" builtinId="9" hidden="1"/>
    <cellStyle name="Hipervínculo visitado" xfId="346" builtinId="9" hidden="1"/>
    <cellStyle name="Hipervínculo visitado" xfId="410" builtinId="9" hidden="1"/>
    <cellStyle name="Hipervínculo visitado" xfId="474" builtinId="9" hidden="1"/>
    <cellStyle name="Hipervínculo visitado" xfId="538" builtinId="9" hidden="1"/>
    <cellStyle name="Hipervínculo visitado" xfId="602" builtinId="9" hidden="1"/>
    <cellStyle name="Hipervínculo visitado" xfId="666" builtinId="9" hidden="1"/>
    <cellStyle name="Hipervínculo visitado" xfId="730" builtinId="9" hidden="1"/>
    <cellStyle name="Hipervínculo visitado" xfId="794" builtinId="9" hidden="1"/>
    <cellStyle name="Hipervínculo visitado" xfId="858" builtinId="9" hidden="1"/>
    <cellStyle name="Hipervínculo visitado" xfId="922" builtinId="9" hidden="1"/>
    <cellStyle name="Hipervínculo visitado" xfId="986" builtinId="9" hidden="1"/>
    <cellStyle name="Hipervínculo visitado" xfId="1050" builtinId="9" hidden="1"/>
    <cellStyle name="Hipervínculo visitado" xfId="1114" builtinId="9" hidden="1"/>
    <cellStyle name="Hipervínculo visitado" xfId="1178" builtinId="9" hidden="1"/>
    <cellStyle name="Hipervínculo visitado" xfId="1172" builtinId="9" hidden="1"/>
    <cellStyle name="Hipervínculo visitado" xfId="1108" builtinId="9" hidden="1"/>
    <cellStyle name="Hipervínculo visitado" xfId="1044" builtinId="9" hidden="1"/>
    <cellStyle name="Hipervínculo visitado" xfId="980" builtinId="9" hidden="1"/>
    <cellStyle name="Hipervínculo visitado" xfId="916" builtinId="9" hidden="1"/>
    <cellStyle name="Hipervínculo visitado" xfId="852" builtinId="9" hidden="1"/>
    <cellStyle name="Hipervínculo visitado" xfId="788" builtinId="9" hidden="1"/>
    <cellStyle name="Hipervínculo visitado" xfId="724" builtinId="9" hidden="1"/>
    <cellStyle name="Hipervínculo visitado" xfId="660" builtinId="9" hidden="1"/>
    <cellStyle name="Hipervínculo visitado" xfId="596" builtinId="9" hidden="1"/>
    <cellStyle name="Hipervínculo visitado" xfId="532" builtinId="9" hidden="1"/>
    <cellStyle name="Hipervínculo visitado" xfId="468" builtinId="9" hidden="1"/>
    <cellStyle name="Hipervínculo visitado" xfId="404" builtinId="9" hidden="1"/>
    <cellStyle name="Hipervínculo visitado" xfId="340" builtinId="9" hidden="1"/>
    <cellStyle name="Hipervínculo visitado" xfId="276" builtinId="9" hidden="1"/>
    <cellStyle name="Hipervínculo visitado" xfId="212" builtinId="9" hidden="1"/>
    <cellStyle name="Hipervínculo visitado" xfId="136" builtinId="9" hidden="1"/>
    <cellStyle name="Hipervínculo visitado" xfId="180" builtinId="9" hidden="1"/>
    <cellStyle name="Hipervínculo visitado" xfId="108" builtinId="9" hidden="1"/>
    <cellStyle name="Hipervínculo visitado" xfId="80" builtinId="9" hidden="1"/>
    <cellStyle name="Hipervínculo visitado" xfId="104" builtinId="9" hidden="1"/>
    <cellStyle name="Hipervínculo visitado" xfId="156" builtinId="9" hidden="1"/>
    <cellStyle name="Hipervínculo visitado" xfId="164" builtinId="9" hidden="1"/>
    <cellStyle name="Hipervínculo visitado" xfId="120" builtinId="9" hidden="1"/>
    <cellStyle name="Hipervínculo visitado" xfId="236" builtinId="9" hidden="1"/>
    <cellStyle name="Hipervínculo visitado" xfId="300" builtinId="9" hidden="1"/>
    <cellStyle name="Hipervínculo visitado" xfId="364" builtinId="9" hidden="1"/>
    <cellStyle name="Hipervínculo visitado" xfId="428" builtinId="9" hidden="1"/>
    <cellStyle name="Hipervínculo visitado" xfId="492" builtinId="9" hidden="1"/>
    <cellStyle name="Hipervínculo visitado" xfId="556" builtinId="9" hidden="1"/>
    <cellStyle name="Hipervínculo visitado" xfId="620" builtinId="9" hidden="1"/>
    <cellStyle name="Hipervínculo visitado" xfId="684" builtinId="9" hidden="1"/>
    <cellStyle name="Hipervínculo visitado" xfId="748" builtinId="9" hidden="1"/>
    <cellStyle name="Hipervínculo visitado" xfId="812" builtinId="9" hidden="1"/>
    <cellStyle name="Hipervínculo visitado" xfId="876" builtinId="9" hidden="1"/>
    <cellStyle name="Hipervínculo visitado" xfId="940" builtinId="9" hidden="1"/>
    <cellStyle name="Hipervínculo visitado" xfId="1004" builtinId="9" hidden="1"/>
    <cellStyle name="Hipervínculo visitado" xfId="1068" builtinId="9" hidden="1"/>
    <cellStyle name="Hipervínculo visitado" xfId="1132" builtinId="9" hidden="1"/>
    <cellStyle name="Hipervínculo visitado" xfId="1196" builtinId="9" hidden="1"/>
    <cellStyle name="Hipervínculo visitado" xfId="1154" builtinId="9" hidden="1"/>
    <cellStyle name="Hipervínculo visitado" xfId="1090" builtinId="9" hidden="1"/>
    <cellStyle name="Hipervínculo visitado" xfId="1026" builtinId="9" hidden="1"/>
    <cellStyle name="Hipervínculo visitado" xfId="962" builtinId="9" hidden="1"/>
    <cellStyle name="Hipervínculo visitado" xfId="898" builtinId="9" hidden="1"/>
    <cellStyle name="Hipervínculo visitado" xfId="834" builtinId="9" hidden="1"/>
    <cellStyle name="Hipervínculo visitado" xfId="770" builtinId="9" hidden="1"/>
    <cellStyle name="Hipervínculo visitado" xfId="706" builtinId="9" hidden="1"/>
    <cellStyle name="Hipervínculo visitado" xfId="642" builtinId="9" hidden="1"/>
    <cellStyle name="Hipervínculo visitado" xfId="578" builtinId="9" hidden="1"/>
    <cellStyle name="Hipervínculo visitado" xfId="514" builtinId="9" hidden="1"/>
    <cellStyle name="Hipervínculo visitado" xfId="450" builtinId="9" hidden="1"/>
    <cellStyle name="Hipervínculo visitado" xfId="386" builtinId="9" hidden="1"/>
    <cellStyle name="Hipervínculo visitado" xfId="322" builtinId="9" hidden="1"/>
    <cellStyle name="Hipervínculo visitado" xfId="258" builtinId="9" hidden="1"/>
    <cellStyle name="Hipervínculo visitado" xfId="194" builtinId="9" hidden="1"/>
    <cellStyle name="Hipervínculo visitado" xfId="130" builtinId="9" hidden="1"/>
    <cellStyle name="Hipervínculo visitado" xfId="66" builtinId="9" hidden="1"/>
    <cellStyle name="Hipervínculo visitado" xfId="64" builtinId="9" hidden="1"/>
    <cellStyle name="Hipervínculo visitado" xfId="2" builtinId="9" hidden="1"/>
    <cellStyle name="Hipervínculo visitado" xfId="62" builtinId="9" hidden="1"/>
    <cellStyle name="Hipervínculo visitado" xfId="24" builtinId="9" hidden="1"/>
    <cellStyle name="Hipervínculo visitado" xfId="126" builtinId="9" hidden="1"/>
    <cellStyle name="Hipervínculo visitado" xfId="190" builtinId="9" hidden="1"/>
    <cellStyle name="Hipervínculo visitado" xfId="254" builtinId="9" hidden="1"/>
    <cellStyle name="Hipervínculo visitado" xfId="318" builtinId="9" hidden="1"/>
    <cellStyle name="Hipervínculo visitado" xfId="382" builtinId="9" hidden="1"/>
    <cellStyle name="Hipervínculo visitado" xfId="446" builtinId="9" hidden="1"/>
    <cellStyle name="Hipervínculo visitado" xfId="510" builtinId="9" hidden="1"/>
    <cellStyle name="Hipervínculo visitado" xfId="574" builtinId="9" hidden="1"/>
    <cellStyle name="Hipervínculo visitado" xfId="638" builtinId="9" hidden="1"/>
    <cellStyle name="Hipervínculo visitado" xfId="702" builtinId="9" hidden="1"/>
    <cellStyle name="Hipervínculo visitado" xfId="766" builtinId="9" hidden="1"/>
    <cellStyle name="Hipervínculo visitado" xfId="830" builtinId="9" hidden="1"/>
    <cellStyle name="Hipervínculo visitado" xfId="894" builtinId="9" hidden="1"/>
    <cellStyle name="Hipervínculo visitado" xfId="958" builtinId="9" hidden="1"/>
    <cellStyle name="Hipervínculo visitado" xfId="1022" builtinId="9" hidden="1"/>
    <cellStyle name="Hipervínculo visitado" xfId="1086" builtinId="9" hidden="1"/>
    <cellStyle name="Hipervínculo visitado" xfId="1150" builtinId="9" hidden="1"/>
    <cellStyle name="Hipervínculo visitado" xfId="1200" builtinId="9" hidden="1"/>
    <cellStyle name="Hipervínculo visitado" xfId="1136" builtinId="9" hidden="1"/>
    <cellStyle name="Hipervínculo visitado" xfId="1072" builtinId="9" hidden="1"/>
    <cellStyle name="Hipervínculo visitado" xfId="1008" builtinId="9" hidden="1"/>
    <cellStyle name="Hipervínculo visitado" xfId="640" builtinId="9" hidden="1"/>
    <cellStyle name="Hipervínculo visitado" xfId="672" builtinId="9" hidden="1"/>
    <cellStyle name="Hipervínculo visitado" xfId="720" builtinId="9" hidden="1"/>
    <cellStyle name="Hipervínculo visitado" xfId="768" builtinId="9" hidden="1"/>
    <cellStyle name="Hipervínculo visitado" xfId="800" builtinId="9" hidden="1"/>
    <cellStyle name="Hipervínculo visitado" xfId="848" builtinId="9" hidden="1"/>
    <cellStyle name="Hipervínculo visitado" xfId="896" builtinId="9" hidden="1"/>
    <cellStyle name="Hipervínculo visitado" xfId="928" builtinId="9" hidden="1"/>
    <cellStyle name="Hipervínculo visitado" xfId="944" builtinId="9" hidden="1"/>
    <cellStyle name="Hipervínculo visitado" xfId="816" builtinId="9" hidden="1"/>
    <cellStyle name="Hipervínculo visitado" xfId="688" builtinId="9" hidden="1"/>
    <cellStyle name="Hipervínculo visitado" xfId="528" builtinId="9" hidden="1"/>
    <cellStyle name="Hipervínculo visitado" xfId="576" builtinId="9" hidden="1"/>
    <cellStyle name="Hipervínculo visitado" xfId="608" builtinId="9" hidden="1"/>
    <cellStyle name="Hipervínculo visitado" xfId="496" builtinId="9" hidden="1"/>
    <cellStyle name="Hipervínculo visitado" xfId="480" builtinId="9" hidden="1"/>
    <cellStyle name="Hipervínculo visitado" xfId="464" builtinId="9" hidden="1"/>
    <cellStyle name="Hipervínculo visitado" xfId="512" builtinId="9" hidden="1"/>
    <cellStyle name="Hipervínculo visitado" xfId="560" builtinId="9" hidden="1"/>
    <cellStyle name="Hipervínculo visitado" xfId="592" builtinId="9" hidden="1"/>
    <cellStyle name="Hipervínculo visitado" xfId="544" builtinId="9" hidden="1"/>
    <cellStyle name="Hipervínculo visitado" xfId="624" builtinId="9" hidden="1"/>
    <cellStyle name="Hipervínculo visitado" xfId="752" builtinId="9" hidden="1"/>
    <cellStyle name="Hipervínculo visitado" xfId="880" builtinId="9" hidden="1"/>
    <cellStyle name="Hipervínculo visitado" xfId="960" builtinId="9" hidden="1"/>
    <cellStyle name="Hipervínculo visitado" xfId="912" builtinId="9" hidden="1"/>
    <cellStyle name="Hipervínculo visitado" xfId="864" builtinId="9" hidden="1"/>
    <cellStyle name="Hipervínculo visitado" xfId="832" builtinId="9" hidden="1"/>
    <cellStyle name="Hipervínculo visitado" xfId="784" builtinId="9" hidden="1"/>
    <cellStyle name="Hipervínculo visitado" xfId="736" builtinId="9" hidden="1"/>
    <cellStyle name="Hipervínculo visitado" xfId="704" builtinId="9" hidden="1"/>
    <cellStyle name="Hipervínculo visitado" xfId="656" builtinId="9" hidden="1"/>
    <cellStyle name="Hipervínculo visitado" xfId="976" builtinId="9" hidden="1"/>
    <cellStyle name="Hipervínculo visitado" xfId="1040" builtinId="9" hidden="1"/>
    <cellStyle name="Hipervínculo visitado" xfId="1104" builtinId="9" hidden="1"/>
    <cellStyle name="Hipervínculo visitado" xfId="1168" builtinId="9" hidden="1"/>
    <cellStyle name="Hipervínculo visitado" xfId="1182" builtinId="9" hidden="1"/>
    <cellStyle name="Hipervínculo visitado" xfId="1118" builtinId="9" hidden="1"/>
    <cellStyle name="Hipervínculo visitado" xfId="1054" builtinId="9" hidden="1"/>
    <cellStyle name="Hipervínculo visitado" xfId="990" builtinId="9" hidden="1"/>
    <cellStyle name="Hipervínculo visitado" xfId="926" builtinId="9" hidden="1"/>
    <cellStyle name="Hipervínculo visitado" xfId="862" builtinId="9" hidden="1"/>
    <cellStyle name="Hipervínculo visitado" xfId="798" builtinId="9" hidden="1"/>
    <cellStyle name="Hipervínculo visitado" xfId="734" builtinId="9" hidden="1"/>
    <cellStyle name="Hipervínculo visitado" xfId="670" builtinId="9" hidden="1"/>
    <cellStyle name="Hipervínculo visitado" xfId="606" builtinId="9" hidden="1"/>
    <cellStyle name="Hipervínculo visitado" xfId="542" builtinId="9" hidden="1"/>
    <cellStyle name="Hipervínculo visitado" xfId="478" builtinId="9" hidden="1"/>
    <cellStyle name="Hipervínculo visitado" xfId="414" builtinId="9" hidden="1"/>
    <cellStyle name="Hipervínculo visitado" xfId="350" builtinId="9" hidden="1"/>
    <cellStyle name="Hipervínculo visitado" xfId="286" builtinId="9" hidden="1"/>
    <cellStyle name="Hipervínculo visitado" xfId="222" builtinId="9" hidden="1"/>
    <cellStyle name="Hipervínculo visitado" xfId="158" builtinId="9" hidden="1"/>
    <cellStyle name="Hipervínculo visitado" xfId="94" builtinId="9" hidden="1"/>
    <cellStyle name="Hipervínculo visitado" xfId="44" builtinId="9" hidden="1"/>
    <cellStyle name="Hipervínculo visitado" xfId="16" builtinId="9" hidden="1"/>
    <cellStyle name="Hipervínculo visitado" xfId="12" builtinId="9" hidden="1"/>
    <cellStyle name="Hipervínculo visitado" xfId="42" builtinId="9" hidden="1"/>
    <cellStyle name="Hipervínculo visitado" xfId="98" builtinId="9" hidden="1"/>
    <cellStyle name="Hipervínculo visitado" xfId="162" builtinId="9" hidden="1"/>
    <cellStyle name="Hipervínculo visitado" xfId="226" builtinId="9" hidden="1"/>
    <cellStyle name="Hipervínculo visitado" xfId="290" builtinId="9" hidden="1"/>
    <cellStyle name="Hipervínculo visitado" xfId="354" builtinId="9" hidden="1"/>
    <cellStyle name="Hipervínculo visitado" xfId="418" builtinId="9" hidden="1"/>
    <cellStyle name="Hipervínculo visitado" xfId="482" builtinId="9" hidden="1"/>
    <cellStyle name="Hipervínculo visitado" xfId="546" builtinId="9" hidden="1"/>
    <cellStyle name="Hipervínculo visitado" xfId="610" builtinId="9" hidden="1"/>
    <cellStyle name="Hipervínculo visitado" xfId="674" builtinId="9" hidden="1"/>
    <cellStyle name="Hipervínculo visitado" xfId="738" builtinId="9" hidden="1"/>
    <cellStyle name="Hipervínculo visitado" xfId="802" builtinId="9" hidden="1"/>
    <cellStyle name="Hipervínculo visitado" xfId="866" builtinId="9" hidden="1"/>
    <cellStyle name="Hipervínculo visitado" xfId="930" builtinId="9" hidden="1"/>
    <cellStyle name="Hipervínculo visitado" xfId="994" builtinId="9" hidden="1"/>
    <cellStyle name="Hipervínculo visitado" xfId="1058" builtinId="9" hidden="1"/>
    <cellStyle name="Hipervínculo visitado" xfId="1122" builtinId="9" hidden="1"/>
    <cellStyle name="Hipervínculo visitado" xfId="1186" builtinId="9" hidden="1"/>
    <cellStyle name="Hipervínculo visitado" xfId="1164" builtinId="9" hidden="1"/>
    <cellStyle name="Hipervínculo visitado" xfId="1100" builtinId="9" hidden="1"/>
    <cellStyle name="Hipervínculo visitado" xfId="1036" builtinId="9" hidden="1"/>
    <cellStyle name="Hipervínculo visitado" xfId="972" builtinId="9" hidden="1"/>
    <cellStyle name="Hipervínculo visitado" xfId="908" builtinId="9" hidden="1"/>
    <cellStyle name="Hipervínculo visitado" xfId="844" builtinId="9" hidden="1"/>
    <cellStyle name="Hipervínculo visitado" xfId="780" builtinId="9" hidden="1"/>
    <cellStyle name="Hipervínculo visitado" xfId="716" builtinId="9" hidden="1"/>
    <cellStyle name="Hipervínculo visitado" xfId="652" builtinId="9" hidden="1"/>
    <cellStyle name="Hipervínculo visitado" xfId="588" builtinId="9" hidden="1"/>
    <cellStyle name="Hipervínculo visitado" xfId="524" builtinId="9" hidden="1"/>
    <cellStyle name="Hipervínculo visitado" xfId="460" builtinId="9" hidden="1"/>
    <cellStyle name="Hipervínculo visitado" xfId="396" builtinId="9" hidden="1"/>
    <cellStyle name="Hipervínculo visitado" xfId="332" builtinId="9" hidden="1"/>
    <cellStyle name="Hipervínculo visitado" xfId="268" builtinId="9" hidden="1"/>
    <cellStyle name="Hipervínculo visitado" xfId="204" builtinId="9" hidden="1"/>
    <cellStyle name="Hipervínculo visitado" xfId="144" builtinId="9" hidden="1"/>
    <cellStyle name="Hipervínculo visitado" xfId="184" builtinId="9" hidden="1"/>
    <cellStyle name="Hipervínculo visitado" xfId="84" builtinId="9" hidden="1"/>
    <cellStyle name="Hipervínculo visitado" xfId="72" builtinId="9" hidden="1"/>
    <cellStyle name="Hipervínculo visitado" xfId="100" builtinId="9" hidden="1"/>
    <cellStyle name="Hipervínculo visitado" xfId="172" builtinId="9" hidden="1"/>
    <cellStyle name="Hipervínculo visitado" xfId="160" builtinId="9" hidden="1"/>
    <cellStyle name="Hipervínculo visitado" xfId="116" builtinId="9" hidden="1"/>
    <cellStyle name="Hipervínculo visitado" xfId="244" builtinId="9" hidden="1"/>
    <cellStyle name="Hipervínculo visitado" xfId="308" builtinId="9" hidden="1"/>
    <cellStyle name="Hipervínculo visitado" xfId="372" builtinId="9" hidden="1"/>
    <cellStyle name="Hipervínculo visitado" xfId="436" builtinId="9" hidden="1"/>
    <cellStyle name="Hipervínculo visitado" xfId="500" builtinId="9" hidden="1"/>
    <cellStyle name="Hipervínculo visitado" xfId="564" builtinId="9" hidden="1"/>
    <cellStyle name="Hipervínculo visitado" xfId="628" builtinId="9" hidden="1"/>
    <cellStyle name="Hipervínculo visitado" xfId="692" builtinId="9" hidden="1"/>
    <cellStyle name="Hipervínculo visitado" xfId="756" builtinId="9" hidden="1"/>
    <cellStyle name="Hipervínculo visitado" xfId="820" builtinId="9" hidden="1"/>
    <cellStyle name="Hipervínculo visitado" xfId="884" builtinId="9" hidden="1"/>
    <cellStyle name="Hipervínculo visitado" xfId="948" builtinId="9" hidden="1"/>
    <cellStyle name="Hipervínculo visitado" xfId="1012" builtinId="9" hidden="1"/>
    <cellStyle name="Hipervínculo visitado" xfId="1076" builtinId="9" hidden="1"/>
    <cellStyle name="Hipervínculo visitado" xfId="1140" builtinId="9" hidden="1"/>
    <cellStyle name="Hipervínculo visitado" xfId="1204" builtinId="9" hidden="1"/>
    <cellStyle name="Hipervínculo visitado" xfId="1146" builtinId="9" hidden="1"/>
    <cellStyle name="Hipervínculo visitado" xfId="1082" builtinId="9" hidden="1"/>
    <cellStyle name="Hipervínculo visitado" xfId="1018" builtinId="9" hidden="1"/>
    <cellStyle name="Hipervínculo visitado" xfId="954" builtinId="9" hidden="1"/>
    <cellStyle name="Hipervínculo visitado" xfId="890" builtinId="9" hidden="1"/>
    <cellStyle name="Hipervínculo visitado" xfId="826" builtinId="9" hidden="1"/>
    <cellStyle name="Hipervínculo visitado" xfId="762" builtinId="9" hidden="1"/>
    <cellStyle name="Hipervínculo visitado" xfId="698" builtinId="9" hidden="1"/>
    <cellStyle name="Hipervínculo visitado" xfId="634" builtinId="9" hidden="1"/>
    <cellStyle name="Hipervínculo visitado" xfId="570" builtinId="9" hidden="1"/>
    <cellStyle name="Hipervínculo visitado" xfId="506" builtinId="9" hidden="1"/>
    <cellStyle name="Hipervínculo visitado" xfId="442" builtinId="9" hidden="1"/>
    <cellStyle name="Hipervínculo visitado" xfId="378" builtinId="9" hidden="1"/>
    <cellStyle name="Hipervínculo visitado" xfId="314" builtinId="9" hidden="1"/>
    <cellStyle name="Hipervínculo visitado" xfId="250" builtinId="9" hidden="1"/>
    <cellStyle name="Hipervínculo visitado" xfId="186" builtinId="9" hidden="1"/>
    <cellStyle name="Hipervínculo visitado" xfId="122" builtinId="9" hidden="1"/>
    <cellStyle name="Hipervínculo visitado" xfId="26" builtinId="9" hidden="1"/>
    <cellStyle name="Hipervínculo visitado" xfId="54" builtinId="9" hidden="1"/>
    <cellStyle name="Hipervínculo visitado" xfId="4" builtinId="9" hidden="1"/>
    <cellStyle name="Hipervínculo visitado" xfId="60" builtinId="9" hidden="1"/>
    <cellStyle name="Hipervínculo visitado" xfId="70" builtinId="9" hidden="1"/>
    <cellStyle name="Hipervínculo visitado" xfId="134" builtinId="9" hidden="1"/>
    <cellStyle name="Hipervínculo visitado" xfId="198" builtinId="9" hidden="1"/>
    <cellStyle name="Hipervínculo visitado" xfId="262" builtinId="9" hidden="1"/>
    <cellStyle name="Hipervínculo visitado" xfId="326" builtinId="9" hidden="1"/>
    <cellStyle name="Hipervínculo visitado" xfId="390" builtinId="9" hidden="1"/>
    <cellStyle name="Hipervínculo visitado" xfId="454" builtinId="9" hidden="1"/>
    <cellStyle name="Hipervínculo visitado" xfId="518" builtinId="9" hidden="1"/>
    <cellStyle name="Hipervínculo visitado" xfId="582" builtinId="9" hidden="1"/>
    <cellStyle name="Hipervínculo visitado" xfId="646" builtinId="9" hidden="1"/>
    <cellStyle name="Hipervínculo visitado" xfId="710" builtinId="9" hidden="1"/>
    <cellStyle name="Hipervínculo visitado" xfId="774" builtinId="9" hidden="1"/>
    <cellStyle name="Hipervínculo visitado" xfId="838" builtinId="9" hidden="1"/>
    <cellStyle name="Hipervínculo visitado" xfId="902" builtinId="9" hidden="1"/>
    <cellStyle name="Hipervínculo visitado" xfId="966" builtinId="9" hidden="1"/>
    <cellStyle name="Hipervínculo visitado" xfId="1030" builtinId="9" hidden="1"/>
    <cellStyle name="Hipervínculo visitado" xfId="1094" builtinId="9" hidden="1"/>
    <cellStyle name="Hipervínculo visitado" xfId="1158" builtinId="9" hidden="1"/>
    <cellStyle name="Hipervínculo visitado" xfId="1192" builtinId="9" hidden="1"/>
    <cellStyle name="Hipervínculo visitado" xfId="1128" builtinId="9" hidden="1"/>
    <cellStyle name="Hipervínculo visitado" xfId="1064" builtinId="9" hidden="1"/>
    <cellStyle name="Hipervínculo visitado" xfId="1000" builtinId="9" hidden="1"/>
    <cellStyle name="Hipervínculo visitado" xfId="936" builtinId="9" hidden="1"/>
    <cellStyle name="Hipervínculo visitado" xfId="872" builtinId="9" hidden="1"/>
    <cellStyle name="Hipervínculo visitado" xfId="808" builtinId="9" hidden="1"/>
    <cellStyle name="Hipervínculo visitado" xfId="744" builtinId="9" hidden="1"/>
    <cellStyle name="Hipervínculo visitado" xfId="680" builtinId="9" hidden="1"/>
    <cellStyle name="Hipervínculo visitado" xfId="616" builtinId="9" hidden="1"/>
    <cellStyle name="Hipervínculo visitado" xfId="552" builtinId="9" hidden="1"/>
    <cellStyle name="Hipervínculo visitado" xfId="488" builtinId="9" hidden="1"/>
    <cellStyle name="Hipervínculo visitado" xfId="296" builtinId="9" hidden="1"/>
    <cellStyle name="Hipervínculo visitado" xfId="336" builtinId="9" hidden="1"/>
    <cellStyle name="Hipervínculo visitado" xfId="384" builtinId="9" hidden="1"/>
    <cellStyle name="Hipervínculo visitado" xfId="424" builtinId="9" hidden="1"/>
    <cellStyle name="Hipervínculo visitado" xfId="408" builtinId="9" hidden="1"/>
    <cellStyle name="Hipervínculo visitado" xfId="280" builtinId="9" hidden="1"/>
    <cellStyle name="Hipervínculo visitado" xfId="264" builtinId="9" hidden="1"/>
    <cellStyle name="Hipervínculo visitado" xfId="224" builtinId="9" hidden="1"/>
    <cellStyle name="Hipervínculo visitado" xfId="208" builtinId="9" hidden="1"/>
    <cellStyle name="Hipervínculo visitado" xfId="272" builtinId="9" hidden="1"/>
    <cellStyle name="Hipervínculo visitado" xfId="232" builtinId="9" hidden="1"/>
    <cellStyle name="Hipervínculo visitado" xfId="376" builtinId="9" hidden="1"/>
    <cellStyle name="Hipervínculo visitado" xfId="432" builtinId="9" hidden="1"/>
    <cellStyle name="Hipervínculo visitado" xfId="392" builtinId="9" hidden="1"/>
    <cellStyle name="Hipervínculo visitado" xfId="352" builtinId="9" hidden="1"/>
    <cellStyle name="Hipervínculo visitado" xfId="304" builtinId="9" hidden="1"/>
    <cellStyle name="Hipervínculo visitado" xfId="472" builtinId="9" hidden="1"/>
    <cellStyle name="Hipervínculo visitado" xfId="536" builtinId="9" hidden="1"/>
    <cellStyle name="Hipervínculo visitado" xfId="600" builtinId="9" hidden="1"/>
    <cellStyle name="Hipervínculo visitado" xfId="664" builtinId="9" hidden="1"/>
    <cellStyle name="Hipervínculo visitado" xfId="728" builtinId="9" hidden="1"/>
    <cellStyle name="Hipervínculo visitado" xfId="792" builtinId="9" hidden="1"/>
    <cellStyle name="Hipervínculo visitado" xfId="856" builtinId="9" hidden="1"/>
    <cellStyle name="Hipervínculo visitado" xfId="920" builtinId="9" hidden="1"/>
    <cellStyle name="Hipervínculo visitado" xfId="984" builtinId="9" hidden="1"/>
    <cellStyle name="Hipervínculo visitado" xfId="1048" builtinId="9" hidden="1"/>
    <cellStyle name="Hipervínculo visitado" xfId="1112" builtinId="9" hidden="1"/>
    <cellStyle name="Hipervínculo visitado" xfId="1176" builtinId="9" hidden="1"/>
    <cellStyle name="Hipervínculo visitado" xfId="1174" builtinId="9" hidden="1"/>
    <cellStyle name="Hipervínculo visitado" xfId="1110" builtinId="9" hidden="1"/>
    <cellStyle name="Hipervínculo visitado" xfId="1046" builtinId="9" hidden="1"/>
    <cellStyle name="Hipervínculo visitado" xfId="982" builtinId="9" hidden="1"/>
    <cellStyle name="Hipervínculo visitado" xfId="918" builtinId="9" hidden="1"/>
    <cellStyle name="Hipervínculo visitado" xfId="854" builtinId="9" hidden="1"/>
    <cellStyle name="Hipervínculo visitado" xfId="790" builtinId="9" hidden="1"/>
    <cellStyle name="Hipervínculo visitado" xfId="726" builtinId="9" hidden="1"/>
    <cellStyle name="Hipervínculo visitado" xfId="662" builtinId="9" hidden="1"/>
    <cellStyle name="Hipervínculo visitado" xfId="598" builtinId="9" hidden="1"/>
    <cellStyle name="Hipervínculo visitado" xfId="534" builtinId="9" hidden="1"/>
    <cellStyle name="Hipervínculo visitado" xfId="470" builtinId="9" hidden="1"/>
    <cellStyle name="Hipervínculo visitado" xfId="406" builtinId="9" hidden="1"/>
    <cellStyle name="Hipervínculo visitado" xfId="342" builtinId="9" hidden="1"/>
    <cellStyle name="Hipervínculo visitado" xfId="278" builtinId="9" hidden="1"/>
    <cellStyle name="Hipervínculo visitado" xfId="214" builtinId="9" hidden="1"/>
    <cellStyle name="Hipervínculo visitado" xfId="150" builtinId="9" hidden="1"/>
    <cellStyle name="Hipervínculo visitado" xfId="86" builtinId="9" hidden="1"/>
    <cellStyle name="Hipervínculo visitado" xfId="50" builtinId="9" hidden="1"/>
    <cellStyle name="Hipervínculo visitado" xfId="20" builtinId="9" hidden="1"/>
    <cellStyle name="Hipervínculo visitado" xfId="22" builtinId="9" hidden="1"/>
    <cellStyle name="Hipervínculo visitado" xfId="36" builtinId="9" hidden="1"/>
    <cellStyle name="Hipervínculo visitado" xfId="106" builtinId="9" hidden="1"/>
    <cellStyle name="Hipervínculo visitado" xfId="170" builtinId="9" hidden="1"/>
    <cellStyle name="Hipervínculo visitado" xfId="234" builtinId="9" hidden="1"/>
    <cellStyle name="Hipervínculo visitado" xfId="298" builtinId="9" hidden="1"/>
    <cellStyle name="Hipervínculo visitado" xfId="362" builtinId="9" hidden="1"/>
    <cellStyle name="Hipervínculo visitado" xfId="426" builtinId="9" hidden="1"/>
    <cellStyle name="Hipervínculo visitado" xfId="490" builtinId="9" hidden="1"/>
    <cellStyle name="Hipervínculo visitado" xfId="554" builtinId="9" hidden="1"/>
    <cellStyle name="Hipervínculo visitado" xfId="618" builtinId="9" hidden="1"/>
    <cellStyle name="Hipervínculo visitado" xfId="682" builtinId="9" hidden="1"/>
    <cellStyle name="Hipervínculo visitado" xfId="746" builtinId="9" hidden="1"/>
    <cellStyle name="Hipervínculo visitado" xfId="810" builtinId="9" hidden="1"/>
    <cellStyle name="Hipervínculo visitado" xfId="874" builtinId="9" hidden="1"/>
    <cellStyle name="Hipervínculo visitado" xfId="938" builtinId="9" hidden="1"/>
    <cellStyle name="Hipervínculo visitado" xfId="1002" builtinId="9" hidden="1"/>
    <cellStyle name="Hipervínculo visitado" xfId="1066" builtinId="9" hidden="1"/>
    <cellStyle name="Hipervínculo visitado" xfId="1130" builtinId="9" hidden="1"/>
    <cellStyle name="Hipervínculo visitado" xfId="1194" builtinId="9" hidden="1"/>
    <cellStyle name="Hipervínculo visitado" xfId="1156" builtinId="9" hidden="1"/>
    <cellStyle name="Hipervínculo visitado" xfId="1092" builtinId="9" hidden="1"/>
    <cellStyle name="Hipervínculo visitado" xfId="1028" builtinId="9" hidden="1"/>
    <cellStyle name="Hipervínculo visitado" xfId="964" builtinId="9" hidden="1"/>
    <cellStyle name="Hipervínculo visitado" xfId="900" builtinId="9" hidden="1"/>
    <cellStyle name="Hipervínculo visitado" xfId="836" builtinId="9" hidden="1"/>
    <cellStyle name="Hipervínculo visitado" xfId="772" builtinId="9" hidden="1"/>
    <cellStyle name="Hipervínculo visitado" xfId="708" builtinId="9" hidden="1"/>
    <cellStyle name="Hipervínculo visitado" xfId="644" builtinId="9" hidden="1"/>
    <cellStyle name="Hipervínculo visitado" xfId="580" builtinId="9" hidden="1"/>
    <cellStyle name="Hipervínculo visitado" xfId="516" builtinId="9" hidden="1"/>
    <cellStyle name="Hipervínculo visitado" xfId="452" builtinId="9" hidden="1"/>
    <cellStyle name="Hipervínculo visitado" xfId="388" builtinId="9" hidden="1"/>
    <cellStyle name="Hipervínculo visitado" xfId="324" builtinId="9" hidden="1"/>
    <cellStyle name="Hipervínculo visitado" xfId="260" builtinId="9" hidden="1"/>
    <cellStyle name="Hipervínculo visitado" xfId="196" builtinId="9" hidden="1"/>
    <cellStyle name="Hipervínculo visitado" xfId="148" builtinId="9" hidden="1"/>
    <cellStyle name="Hipervínculo visitado" xfId="192" builtinId="9" hidden="1"/>
    <cellStyle name="Hipervínculo visitado" xfId="88" builtinId="9" hidden="1"/>
    <cellStyle name="Hipervínculo visitado" xfId="68" builtinId="9" hidden="1"/>
    <cellStyle name="Hipervínculo visitado" xfId="96" builtinId="9" hidden="1"/>
    <cellStyle name="Hipervínculo visitado" xfId="188" builtinId="9" hidden="1"/>
    <cellStyle name="Hipervínculo visitado" xfId="152" builtinId="9" hidden="1"/>
    <cellStyle name="Hipervínculo visitado" xfId="112" builtinId="9" hidden="1"/>
    <cellStyle name="Hipervínculo visitado" xfId="252" builtinId="9" hidden="1"/>
    <cellStyle name="Hipervínculo visitado" xfId="316" builtinId="9" hidden="1"/>
    <cellStyle name="Hipervínculo visitado" xfId="380" builtinId="9" hidden="1"/>
    <cellStyle name="Hipervínculo visitado" xfId="444" builtinId="9" hidden="1"/>
    <cellStyle name="Hipervínculo visitado" xfId="508" builtinId="9" hidden="1"/>
    <cellStyle name="Hipervínculo visitado" xfId="572" builtinId="9" hidden="1"/>
    <cellStyle name="Hipervínculo visitado" xfId="636" builtinId="9" hidden="1"/>
    <cellStyle name="Hipervínculo visitado" xfId="700" builtinId="9" hidden="1"/>
    <cellStyle name="Hipervínculo visitado" xfId="764" builtinId="9" hidden="1"/>
    <cellStyle name="Hipervínculo visitado" xfId="828" builtinId="9" hidden="1"/>
    <cellStyle name="Hipervínculo visitado" xfId="892" builtinId="9" hidden="1"/>
    <cellStyle name="Hipervínculo visitado" xfId="956" builtinId="9" hidden="1"/>
    <cellStyle name="Hipervínculo visitado" xfId="1020" builtinId="9" hidden="1"/>
    <cellStyle name="Hipervínculo visitado" xfId="1084" builtinId="9" hidden="1"/>
    <cellStyle name="Hipervínculo visitado" xfId="1148" builtinId="9" hidden="1"/>
    <cellStyle name="Hipervínculo visitado" xfId="1202" builtinId="9" hidden="1"/>
    <cellStyle name="Hipervínculo visitado" xfId="1138" builtinId="9" hidden="1"/>
    <cellStyle name="Hipervínculo visitado" xfId="1074" builtinId="9" hidden="1"/>
    <cellStyle name="Hipervínculo visitado" xfId="1010" builtinId="9" hidden="1"/>
    <cellStyle name="Hipervínculo visitado" xfId="946" builtinId="9" hidden="1"/>
    <cellStyle name="Hipervínculo visitado" xfId="882" builtinId="9" hidden="1"/>
    <cellStyle name="Hipervínculo visitado" xfId="818" builtinId="9" hidden="1"/>
    <cellStyle name="Hipervínculo visitado" xfId="754" builtinId="9" hidden="1"/>
    <cellStyle name="Hipervínculo visitado" xfId="690" builtinId="9" hidden="1"/>
    <cellStyle name="Hipervínculo visitado" xfId="626" builtinId="9" hidden="1"/>
    <cellStyle name="Hipervínculo visitado" xfId="562" builtinId="9" hidden="1"/>
    <cellStyle name="Hipervínculo visitado" xfId="498" builtinId="9" hidden="1"/>
    <cellStyle name="Hipervínculo visitado" xfId="434" builtinId="9" hidden="1"/>
    <cellStyle name="Hipervínculo visitado" xfId="370" builtinId="9" hidden="1"/>
    <cellStyle name="Hipervínculo visitado" xfId="306" builtinId="9" hidden="1"/>
    <cellStyle name="Hipervínculo visitado" xfId="242" builtinId="9" hidden="1"/>
    <cellStyle name="Hipervínculo visitado" xfId="178" builtinId="9" hidden="1"/>
    <cellStyle name="Hipervínculo visitado" xfId="114" builtinId="9" hidden="1"/>
    <cellStyle name="Hipervínculo visitado" xfId="32" builtinId="9" hidden="1"/>
    <cellStyle name="Hipervínculo visitado" xfId="38" builtinId="9" hidden="1"/>
    <cellStyle name="Hipervínculo visitado" xfId="6" builtinId="9" hidden="1"/>
    <cellStyle name="Hipervínculo visitado" xfId="56" builtinId="9" hidden="1"/>
    <cellStyle name="Hipervínculo visitado" xfId="78" builtinId="9" hidden="1"/>
    <cellStyle name="Hipervínculo visitado" xfId="142" builtinId="9" hidden="1"/>
    <cellStyle name="Hipervínculo visitado" xfId="206" builtinId="9" hidden="1"/>
    <cellStyle name="Hipervínculo visitado" xfId="270" builtinId="9" hidden="1"/>
    <cellStyle name="Hipervínculo visitado" xfId="334" builtinId="9" hidden="1"/>
    <cellStyle name="Hipervínculo visitado" xfId="398" builtinId="9" hidden="1"/>
    <cellStyle name="Hipervínculo visitado" xfId="1070" builtinId="9" hidden="1"/>
    <cellStyle name="Hipervínculo visitado" xfId="1038" builtinId="9" hidden="1"/>
    <cellStyle name="Hipervínculo visitado" xfId="1006" builtinId="9" hidden="1"/>
    <cellStyle name="Hipervínculo visitado" xfId="942" builtinId="9" hidden="1"/>
    <cellStyle name="Hipervínculo visitado" xfId="910" builtinId="9" hidden="1"/>
    <cellStyle name="Hipervínculo visitado" xfId="878" builtinId="9" hidden="1"/>
    <cellStyle name="Hipervínculo visitado" xfId="814" builtinId="9" hidden="1"/>
    <cellStyle name="Hipervínculo visitado" xfId="782" builtinId="9" hidden="1"/>
    <cellStyle name="Hipervínculo visitado" xfId="750" builtinId="9" hidden="1"/>
    <cellStyle name="Hipervínculo visitado" xfId="686" builtinId="9" hidden="1"/>
    <cellStyle name="Hipervínculo visitado" xfId="654" builtinId="9" hidden="1"/>
    <cellStyle name="Hipervínculo visitado" xfId="622" builtinId="9" hidden="1"/>
    <cellStyle name="Hipervínculo visitado" xfId="558" builtinId="9" hidden="1"/>
    <cellStyle name="Hipervínculo visitado" xfId="526" builtinId="9" hidden="1"/>
    <cellStyle name="Hipervínculo visitado" xfId="494" builtinId="9" hidden="1"/>
    <cellStyle name="Hipervínculo visitado" xfId="430" builtinId="9" hidden="1"/>
    <cellStyle name="Hipervínculo visitado" xfId="462" builtinId="9" hidden="1"/>
    <cellStyle name="Hipervínculo visitado" xfId="590" builtinId="9" hidden="1"/>
    <cellStyle name="Hipervínculo visitado" xfId="718" builtinId="9" hidden="1"/>
    <cellStyle name="Hipervínculo visitado" xfId="846" builtinId="9" hidden="1"/>
    <cellStyle name="Hipervínculo visitado" xfId="974" builtinId="9" hidden="1"/>
    <cellStyle name="Hipervínculo visitado" xfId="1102" builtinId="9" hidden="1"/>
    <cellStyle name="Hipervínculo visitado" xfId="1120" builtinId="9" hidden="1"/>
    <cellStyle name="Hipervínculo visitado" xfId="1152" builtinId="9" hidden="1"/>
    <cellStyle name="Hipervínculo visitado" xfId="1198" builtinId="9" hidden="1"/>
    <cellStyle name="Hipervínculo visitado" xfId="1166" builtinId="9" hidden="1"/>
    <cellStyle name="Hipervínculo visitado" xfId="1134" builtinId="9" hidden="1"/>
    <cellStyle name="Hipervínculo visitado" xfId="1184" builtinId="9" hidden="1"/>
    <cellStyle name="Hipervínculo visitado" xfId="1056" builtinId="9" hidden="1"/>
    <cellStyle name="Hipervínculo visitado" xfId="1088" builtinId="9" hidden="1"/>
    <cellStyle name="Hipervínculo visitado" xfId="1024" builtinId="9" hidden="1"/>
    <cellStyle name="Hipervínculo visitado" xfId="992" builtinId="9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D8348E.DC1650C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994833</xdr:colOff>
      <xdr:row>0</xdr:row>
      <xdr:rowOff>167430</xdr:rowOff>
    </xdr:from>
    <xdr:to>
      <xdr:col>17</xdr:col>
      <xdr:colOff>1984515</xdr:colOff>
      <xdr:row>3</xdr:row>
      <xdr:rowOff>112029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B5C652-C1D4-40A0-8459-6F91D174B2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5" t="14528" r="80143" b="19189"/>
        <a:stretch>
          <a:fillRect/>
        </a:stretch>
      </xdr:blipFill>
      <xdr:spPr bwMode="auto">
        <a:xfrm>
          <a:off x="20447000" y="167430"/>
          <a:ext cx="989682" cy="68543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nie.montoya/AppData/Local/Microsoft/Windows/INetCache/Content.Outlook/QRMUD3E3/Ordenes%20de%20Produccion%20TEMPLATE%202021%20(BALANC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ROBAS (TEMPLATE)"/>
      <sheetName val="INFO2"/>
      <sheetName val="MOLINO (TEMPLATE)"/>
      <sheetName val="MOLINO (TEMPLATE) (2)"/>
      <sheetName val="INFO"/>
      <sheetName val="BALANCE"/>
    </sheetNames>
    <sheetDataSet>
      <sheetData sheetId="0">
        <row r="11">
          <cell r="I11">
            <v>0</v>
          </cell>
          <cell r="N11">
            <v>240</v>
          </cell>
        </row>
        <row r="12">
          <cell r="I12">
            <v>0</v>
          </cell>
          <cell r="N12">
            <v>330</v>
          </cell>
        </row>
        <row r="13">
          <cell r="I13">
            <v>0</v>
          </cell>
          <cell r="N13">
            <v>330</v>
          </cell>
        </row>
        <row r="14">
          <cell r="I14">
            <v>0</v>
          </cell>
          <cell r="N14">
            <v>1155</v>
          </cell>
        </row>
        <row r="15">
          <cell r="I15">
            <v>0</v>
          </cell>
          <cell r="N15">
            <v>165</v>
          </cell>
        </row>
        <row r="16">
          <cell r="N16">
            <v>0</v>
          </cell>
        </row>
        <row r="17">
          <cell r="I17">
            <v>10</v>
          </cell>
          <cell r="N17">
            <v>600</v>
          </cell>
        </row>
        <row r="18">
          <cell r="I18">
            <v>20</v>
          </cell>
          <cell r="N18">
            <v>400</v>
          </cell>
        </row>
        <row r="19">
          <cell r="I19">
            <v>10</v>
          </cell>
          <cell r="N19">
            <v>600</v>
          </cell>
        </row>
        <row r="20">
          <cell r="N20">
            <v>0</v>
          </cell>
        </row>
        <row r="21">
          <cell r="I21">
            <v>0</v>
          </cell>
          <cell r="N21">
            <v>198</v>
          </cell>
        </row>
        <row r="22">
          <cell r="I22">
            <v>0</v>
          </cell>
          <cell r="N22">
            <v>231</v>
          </cell>
        </row>
        <row r="23">
          <cell r="I23">
            <v>0</v>
          </cell>
          <cell r="N23">
            <v>120</v>
          </cell>
        </row>
        <row r="24">
          <cell r="I24">
            <v>0</v>
          </cell>
          <cell r="N24">
            <v>375</v>
          </cell>
        </row>
        <row r="27">
          <cell r="N27">
            <v>0</v>
          </cell>
        </row>
      </sheetData>
      <sheetData sheetId="1"/>
      <sheetData sheetId="2"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0">
          <cell r="M20">
            <v>0</v>
          </cell>
        </row>
        <row r="21">
          <cell r="M21">
            <v>0</v>
          </cell>
        </row>
        <row r="22">
          <cell r="M22">
            <v>0</v>
          </cell>
        </row>
        <row r="23">
          <cell r="M23">
            <v>0</v>
          </cell>
        </row>
        <row r="24">
          <cell r="M24">
            <v>0</v>
          </cell>
        </row>
        <row r="25">
          <cell r="M25">
            <v>0</v>
          </cell>
        </row>
        <row r="26">
          <cell r="M26">
            <v>0</v>
          </cell>
        </row>
      </sheetData>
      <sheetData sheetId="3"/>
      <sheetData sheetId="4">
        <row r="2">
          <cell r="A2" t="str">
            <v>PT-100-002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3070B-BA68-461F-ADCD-758F401DB208}">
  <sheetPr>
    <pageSetUpPr fitToPage="1"/>
  </sheetPr>
  <dimension ref="A1:R43"/>
  <sheetViews>
    <sheetView showGridLines="0" topLeftCell="A2" zoomScale="90" zoomScaleNormal="90" zoomScaleSheetLayoutView="71" zoomScalePageLayoutView="70" workbookViewId="0">
      <selection activeCell="C16" sqref="C16"/>
    </sheetView>
  </sheetViews>
  <sheetFormatPr baseColWidth="10" defaultColWidth="16.109375" defaultRowHeight="13.8" x14ac:dyDescent="0.25"/>
  <cols>
    <col min="1" max="1" width="6.33203125" style="4" customWidth="1"/>
    <col min="2" max="2" width="7.88671875" style="5" bestFit="1" customWidth="1"/>
    <col min="3" max="3" width="11.6640625" style="5" bestFit="1" customWidth="1"/>
    <col min="4" max="4" width="54.44140625" style="5" bestFit="1" customWidth="1"/>
    <col min="5" max="5" width="14.88671875" style="5" customWidth="1"/>
    <col min="6" max="6" width="26" style="5" customWidth="1"/>
    <col min="7" max="7" width="16.109375" style="5"/>
    <col min="8" max="8" width="20.5546875" style="5" customWidth="1"/>
    <col min="9" max="10" width="22.21875" style="5" customWidth="1"/>
    <col min="11" max="13" width="16.109375" style="5"/>
    <col min="14" max="14" width="10" style="5" bestFit="1" customWidth="1"/>
    <col min="15" max="15" width="13.6640625" style="5" customWidth="1"/>
    <col min="16" max="16" width="12.33203125" style="5" customWidth="1"/>
    <col min="17" max="17" width="11.44140625" style="4" bestFit="1" customWidth="1"/>
    <col min="18" max="18" width="30.5546875" style="4" customWidth="1"/>
    <col min="19" max="16384" width="16.109375" style="4"/>
  </cols>
  <sheetData>
    <row r="1" spans="1:18" ht="22.8" x14ac:dyDescent="0.25">
      <c r="A1" s="106" t="s">
        <v>84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</row>
    <row r="2" spans="1:18" ht="22.8" x14ac:dyDescent="0.4">
      <c r="A2" s="107" t="s">
        <v>85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</row>
    <row r="3" spans="1:18" x14ac:dyDescent="0.25">
      <c r="B3" s="128" t="s">
        <v>86</v>
      </c>
      <c r="C3" s="128"/>
      <c r="D3" s="128"/>
    </row>
    <row r="4" spans="1:18" x14ac:dyDescent="0.25">
      <c r="B4" s="128" t="s">
        <v>119</v>
      </c>
      <c r="C4" s="128"/>
      <c r="D4" s="128"/>
    </row>
    <row r="5" spans="1:18" ht="16.2" customHeight="1" x14ac:dyDescent="0.25">
      <c r="B5" s="108" t="s">
        <v>120</v>
      </c>
      <c r="C5" s="108"/>
      <c r="D5" s="127"/>
    </row>
    <row r="6" spans="1:18" ht="22.8" x14ac:dyDescent="0.4"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</row>
    <row r="7" spans="1:18" ht="14.4" thickBot="1" x14ac:dyDescent="0.3">
      <c r="B7" s="97" t="s">
        <v>0</v>
      </c>
      <c r="C7" s="97"/>
      <c r="D7" s="98"/>
      <c r="E7" s="98"/>
      <c r="F7" s="6"/>
      <c r="G7" s="99"/>
      <c r="H7" s="99"/>
      <c r="I7" s="99"/>
      <c r="J7" s="99"/>
      <c r="K7" s="99"/>
      <c r="L7" s="115"/>
      <c r="M7" s="115"/>
      <c r="N7" s="7"/>
      <c r="O7" s="7"/>
      <c r="P7" s="116"/>
      <c r="Q7" s="116"/>
    </row>
    <row r="8" spans="1:18" ht="14.4" thickBot="1" x14ac:dyDescent="0.3">
      <c r="B8" s="97" t="s">
        <v>9</v>
      </c>
      <c r="C8" s="97"/>
      <c r="D8" s="113"/>
      <c r="E8" s="113"/>
      <c r="F8" s="6"/>
      <c r="G8" s="8"/>
      <c r="H8" s="8"/>
      <c r="I8" s="8"/>
      <c r="J8" s="8"/>
      <c r="K8" s="9"/>
      <c r="L8" s="10"/>
      <c r="M8" s="10"/>
      <c r="N8" s="10"/>
      <c r="O8" s="10"/>
      <c r="P8" s="11"/>
      <c r="Q8" s="11"/>
    </row>
    <row r="9" spans="1:18" ht="14.4" thickBot="1" x14ac:dyDescent="0.3">
      <c r="B9" s="97" t="s">
        <v>62</v>
      </c>
      <c r="C9" s="97"/>
      <c r="D9" s="113"/>
      <c r="E9" s="113"/>
      <c r="F9" s="6"/>
      <c r="G9" s="114" t="s">
        <v>8</v>
      </c>
      <c r="H9" s="114"/>
      <c r="I9" s="114"/>
      <c r="J9" s="92"/>
      <c r="M9" s="12"/>
      <c r="N9" s="6" t="s">
        <v>24</v>
      </c>
      <c r="O9" s="6"/>
      <c r="P9" s="5">
        <f>IF(D9="blanco",100,80)</f>
        <v>80</v>
      </c>
      <c r="Q9" s="13" t="s">
        <v>25</v>
      </c>
    </row>
    <row r="10" spans="1:18" ht="14.4" thickBot="1" x14ac:dyDescent="0.3">
      <c r="B10" s="97" t="s">
        <v>117</v>
      </c>
      <c r="C10" s="97"/>
      <c r="D10" s="98"/>
      <c r="E10" s="98"/>
      <c r="F10" s="6"/>
      <c r="G10" s="92"/>
      <c r="H10" s="92"/>
      <c r="I10" s="92"/>
      <c r="J10" s="92"/>
      <c r="M10" s="12"/>
      <c r="N10" s="6"/>
      <c r="O10" s="6"/>
      <c r="Q10" s="13"/>
    </row>
    <row r="11" spans="1:18" ht="15" thickBot="1" x14ac:dyDescent="0.35">
      <c r="B11" s="14"/>
      <c r="C11" s="14"/>
      <c r="D11" s="15"/>
      <c r="E11" s="15"/>
      <c r="F11" s="6"/>
      <c r="G11" s="16"/>
      <c r="H11" s="16"/>
      <c r="I11" s="16"/>
      <c r="J11" s="16"/>
      <c r="M11" s="12"/>
      <c r="N11" s="17" t="s">
        <v>121</v>
      </c>
      <c r="O11" s="17"/>
      <c r="P11" s="5">
        <v>40</v>
      </c>
      <c r="Q11" s="13" t="s">
        <v>26</v>
      </c>
    </row>
    <row r="12" spans="1:18" ht="14.4" customHeight="1" thickBot="1" x14ac:dyDescent="0.3">
      <c r="E12" s="93" t="s">
        <v>4</v>
      </c>
      <c r="F12" s="94"/>
      <c r="G12" s="94"/>
      <c r="H12" s="94"/>
      <c r="I12" s="94"/>
      <c r="J12" s="95"/>
      <c r="K12" s="93" t="s">
        <v>17</v>
      </c>
      <c r="L12" s="94"/>
      <c r="M12" s="95"/>
      <c r="N12" s="93" t="s">
        <v>18</v>
      </c>
      <c r="O12" s="94"/>
      <c r="P12" s="111"/>
      <c r="Q12" s="112"/>
    </row>
    <row r="13" spans="1:18" ht="34.200000000000003" customHeight="1" thickBot="1" x14ac:dyDescent="0.3">
      <c r="B13" s="18" t="s">
        <v>1</v>
      </c>
      <c r="C13" s="20" t="s">
        <v>10</v>
      </c>
      <c r="D13" s="21" t="s">
        <v>6</v>
      </c>
      <c r="E13" s="19" t="s">
        <v>23</v>
      </c>
      <c r="F13" s="20" t="s">
        <v>11</v>
      </c>
      <c r="G13" s="20" t="s">
        <v>113</v>
      </c>
      <c r="H13" s="53" t="s">
        <v>114</v>
      </c>
      <c r="I13" s="21" t="s">
        <v>115</v>
      </c>
      <c r="J13" s="122" t="s">
        <v>118</v>
      </c>
      <c r="K13" s="19" t="s">
        <v>62</v>
      </c>
      <c r="L13" s="20" t="s">
        <v>2</v>
      </c>
      <c r="M13" s="21" t="s">
        <v>3</v>
      </c>
      <c r="N13" s="121" t="s">
        <v>16</v>
      </c>
      <c r="O13" s="126" t="s">
        <v>116</v>
      </c>
      <c r="P13" s="117" t="s">
        <v>14</v>
      </c>
      <c r="Q13" s="21" t="s">
        <v>13</v>
      </c>
      <c r="R13" s="22" t="s">
        <v>60</v>
      </c>
    </row>
    <row r="14" spans="1:18" ht="20.100000000000001" customHeight="1" thickBot="1" x14ac:dyDescent="0.3">
      <c r="B14" s="23">
        <v>1</v>
      </c>
      <c r="C14" s="54"/>
      <c r="D14" s="63"/>
      <c r="E14" s="55"/>
      <c r="F14" s="24"/>
      <c r="G14" s="56"/>
      <c r="H14" s="64"/>
      <c r="I14" s="25"/>
      <c r="J14" s="123"/>
      <c r="K14" s="65"/>
      <c r="L14" s="66"/>
      <c r="M14" s="57"/>
      <c r="N14" s="29"/>
      <c r="O14" s="118"/>
      <c r="P14" s="30"/>
      <c r="Q14" s="30"/>
      <c r="R14" s="67"/>
    </row>
    <row r="15" spans="1:18" ht="20.100000000000001" customHeight="1" x14ac:dyDescent="0.25">
      <c r="B15" s="31">
        <f t="shared" ref="B15:B27" si="0">1+B14</f>
        <v>2</v>
      </c>
      <c r="C15" s="31"/>
      <c r="D15" s="63"/>
      <c r="E15" s="55"/>
      <c r="F15" s="68"/>
      <c r="G15" s="25"/>
      <c r="H15" s="59"/>
      <c r="I15" s="25"/>
      <c r="J15" s="124"/>
      <c r="K15" s="69"/>
      <c r="L15" s="27"/>
      <c r="M15" s="28"/>
      <c r="N15" s="29"/>
      <c r="O15" s="119"/>
      <c r="P15" s="32"/>
      <c r="Q15" s="32"/>
      <c r="R15" s="70"/>
    </row>
    <row r="16" spans="1:18" ht="20.100000000000001" customHeight="1" x14ac:dyDescent="0.25">
      <c r="B16" s="31">
        <f t="shared" si="0"/>
        <v>3</v>
      </c>
      <c r="C16" s="31"/>
      <c r="D16" s="71"/>
      <c r="E16" s="55"/>
      <c r="F16" s="68"/>
      <c r="G16" s="25"/>
      <c r="H16" s="59"/>
      <c r="I16" s="25"/>
      <c r="J16" s="124"/>
      <c r="K16" s="69"/>
      <c r="L16" s="27"/>
      <c r="M16" s="28"/>
      <c r="N16" s="29"/>
      <c r="O16" s="119"/>
      <c r="P16" s="32"/>
      <c r="Q16" s="32"/>
      <c r="R16" s="72"/>
    </row>
    <row r="17" spans="2:18" ht="20.100000000000001" customHeight="1" thickBot="1" x14ac:dyDescent="0.3">
      <c r="B17" s="31">
        <f t="shared" si="0"/>
        <v>4</v>
      </c>
      <c r="C17" s="31"/>
      <c r="D17" s="71"/>
      <c r="E17" s="55"/>
      <c r="F17" s="68"/>
      <c r="G17" s="25"/>
      <c r="H17" s="59"/>
      <c r="I17" s="25"/>
      <c r="J17" s="124"/>
      <c r="K17" s="69"/>
      <c r="L17" s="27"/>
      <c r="M17" s="28"/>
      <c r="N17" s="29"/>
      <c r="O17" s="119"/>
      <c r="P17" s="32"/>
      <c r="Q17" s="32"/>
      <c r="R17" s="72"/>
    </row>
    <row r="18" spans="2:18" ht="20.100000000000001" customHeight="1" x14ac:dyDescent="0.25">
      <c r="B18" s="31">
        <f t="shared" si="0"/>
        <v>5</v>
      </c>
      <c r="C18" s="31"/>
      <c r="D18" s="63"/>
      <c r="E18" s="55"/>
      <c r="F18" s="68"/>
      <c r="G18" s="25"/>
      <c r="H18" s="59"/>
      <c r="I18" s="25"/>
      <c r="J18" s="124"/>
      <c r="K18" s="69"/>
      <c r="L18" s="27"/>
      <c r="M18" s="28"/>
      <c r="N18" s="29"/>
      <c r="O18" s="119"/>
      <c r="P18" s="32"/>
      <c r="Q18" s="32"/>
      <c r="R18" s="72"/>
    </row>
    <row r="19" spans="2:18" ht="20.100000000000001" customHeight="1" thickBot="1" x14ac:dyDescent="0.3">
      <c r="B19" s="31">
        <f t="shared" si="0"/>
        <v>6</v>
      </c>
      <c r="C19" s="31"/>
      <c r="D19" s="71"/>
      <c r="E19" s="55"/>
      <c r="F19" s="68"/>
      <c r="G19" s="25"/>
      <c r="H19" s="59"/>
      <c r="I19" s="25"/>
      <c r="J19" s="124"/>
      <c r="K19" s="69"/>
      <c r="L19" s="27"/>
      <c r="M19" s="28"/>
      <c r="N19" s="29"/>
      <c r="O19" s="119"/>
      <c r="P19" s="32"/>
      <c r="Q19" s="32"/>
      <c r="R19" s="73"/>
    </row>
    <row r="20" spans="2:18" ht="20.100000000000001" customHeight="1" x14ac:dyDescent="0.25">
      <c r="B20" s="31">
        <f t="shared" si="0"/>
        <v>7</v>
      </c>
      <c r="C20" s="31"/>
      <c r="D20" s="63"/>
      <c r="E20" s="55"/>
      <c r="F20" s="68"/>
      <c r="G20" s="25"/>
      <c r="H20" s="59"/>
      <c r="I20" s="25"/>
      <c r="J20" s="124"/>
      <c r="K20" s="69"/>
      <c r="L20" s="27"/>
      <c r="M20" s="28"/>
      <c r="N20" s="29"/>
      <c r="O20" s="119"/>
      <c r="P20" s="32"/>
      <c r="Q20" s="32"/>
      <c r="R20" s="72"/>
    </row>
    <row r="21" spans="2:18" ht="20.100000000000001" customHeight="1" x14ac:dyDescent="0.25">
      <c r="B21" s="31">
        <f t="shared" si="0"/>
        <v>8</v>
      </c>
      <c r="C21" s="31"/>
      <c r="D21" s="58"/>
      <c r="E21" s="55"/>
      <c r="F21" s="68"/>
      <c r="G21" s="25"/>
      <c r="H21" s="59"/>
      <c r="I21" s="25"/>
      <c r="J21" s="124"/>
      <c r="K21" s="69"/>
      <c r="L21" s="27"/>
      <c r="M21" s="28"/>
      <c r="N21" s="29"/>
      <c r="O21" s="119"/>
      <c r="P21" s="32"/>
      <c r="Q21" s="32"/>
      <c r="R21" s="72"/>
    </row>
    <row r="22" spans="2:18" ht="20.100000000000001" customHeight="1" x14ac:dyDescent="0.25">
      <c r="B22" s="31">
        <f t="shared" si="0"/>
        <v>9</v>
      </c>
      <c r="C22" s="31"/>
      <c r="D22" s="58"/>
      <c r="E22" s="55"/>
      <c r="F22" s="68"/>
      <c r="G22" s="25"/>
      <c r="H22" s="59"/>
      <c r="I22" s="25"/>
      <c r="J22" s="124"/>
      <c r="K22" s="69"/>
      <c r="L22" s="27"/>
      <c r="M22" s="28"/>
      <c r="N22" s="29"/>
      <c r="O22" s="119"/>
      <c r="P22" s="32"/>
      <c r="Q22" s="32"/>
      <c r="R22" s="72"/>
    </row>
    <row r="23" spans="2:18" ht="20.100000000000001" customHeight="1" x14ac:dyDescent="0.25">
      <c r="B23" s="31">
        <f t="shared" si="0"/>
        <v>10</v>
      </c>
      <c r="C23" s="31"/>
      <c r="D23" s="58"/>
      <c r="E23" s="55"/>
      <c r="F23" s="68"/>
      <c r="G23" s="25"/>
      <c r="H23" s="59"/>
      <c r="I23" s="25"/>
      <c r="J23" s="124"/>
      <c r="K23" s="69"/>
      <c r="L23" s="27"/>
      <c r="M23" s="28"/>
      <c r="N23" s="29"/>
      <c r="O23" s="119"/>
      <c r="P23" s="32"/>
      <c r="Q23" s="32"/>
      <c r="R23" s="72"/>
    </row>
    <row r="24" spans="2:18" ht="20.100000000000001" customHeight="1" x14ac:dyDescent="0.25">
      <c r="B24" s="31">
        <f t="shared" si="0"/>
        <v>11</v>
      </c>
      <c r="C24" s="31"/>
      <c r="D24" s="58"/>
      <c r="E24" s="55"/>
      <c r="F24" s="68"/>
      <c r="G24" s="25"/>
      <c r="H24" s="59"/>
      <c r="I24" s="25"/>
      <c r="J24" s="124"/>
      <c r="K24" s="69"/>
      <c r="L24" s="27"/>
      <c r="M24" s="28"/>
      <c r="N24" s="29"/>
      <c r="O24" s="119"/>
      <c r="P24" s="32"/>
      <c r="Q24" s="32"/>
      <c r="R24" s="72"/>
    </row>
    <row r="25" spans="2:18" ht="20.100000000000001" customHeight="1" x14ac:dyDescent="0.25">
      <c r="B25" s="31">
        <f t="shared" si="0"/>
        <v>12</v>
      </c>
      <c r="C25" s="31"/>
      <c r="D25" s="58"/>
      <c r="E25" s="55"/>
      <c r="F25" s="68"/>
      <c r="G25" s="25"/>
      <c r="H25" s="59"/>
      <c r="I25" s="25"/>
      <c r="J25" s="124"/>
      <c r="K25" s="69"/>
      <c r="L25" s="27"/>
      <c r="M25" s="28"/>
      <c r="N25" s="29"/>
      <c r="O25" s="119"/>
      <c r="P25" s="32"/>
      <c r="Q25" s="32"/>
      <c r="R25" s="72"/>
    </row>
    <row r="26" spans="2:18" ht="20.100000000000001" customHeight="1" x14ac:dyDescent="0.25">
      <c r="B26" s="31">
        <f t="shared" si="0"/>
        <v>13</v>
      </c>
      <c r="C26" s="31"/>
      <c r="D26" s="58"/>
      <c r="E26" s="55"/>
      <c r="F26" s="68"/>
      <c r="G26" s="25"/>
      <c r="H26" s="59"/>
      <c r="I26" s="25"/>
      <c r="J26" s="124"/>
      <c r="K26" s="69"/>
      <c r="L26" s="27"/>
      <c r="M26" s="26"/>
      <c r="N26" s="29"/>
      <c r="O26" s="119"/>
      <c r="P26" s="32"/>
      <c r="Q26" s="32"/>
      <c r="R26" s="72"/>
    </row>
    <row r="27" spans="2:18" ht="20.100000000000001" customHeight="1" thickBot="1" x14ac:dyDescent="0.3">
      <c r="B27" s="31">
        <f t="shared" si="0"/>
        <v>14</v>
      </c>
      <c r="C27" s="33"/>
      <c r="D27" s="60"/>
      <c r="E27" s="61"/>
      <c r="F27" s="74"/>
      <c r="G27" s="34"/>
      <c r="H27" s="62"/>
      <c r="I27" s="25"/>
      <c r="J27" s="125"/>
      <c r="K27" s="75"/>
      <c r="L27" s="36"/>
      <c r="M27" s="35"/>
      <c r="N27" s="37"/>
      <c r="O27" s="120"/>
      <c r="P27" s="38"/>
      <c r="Q27" s="38"/>
      <c r="R27" s="76"/>
    </row>
    <row r="28" spans="2:18" ht="20.100000000000001" customHeight="1" thickBot="1" x14ac:dyDescent="0.3">
      <c r="M28" s="39" t="s">
        <v>19</v>
      </c>
      <c r="N28" s="40">
        <f>SUM(N14:N27)</f>
        <v>0</v>
      </c>
      <c r="O28" s="40"/>
      <c r="P28" s="40">
        <f>SUM(P14:P27)</f>
        <v>0</v>
      </c>
      <c r="Q28" s="40">
        <f>SUM(Q14:Q27)</f>
        <v>0</v>
      </c>
    </row>
    <row r="29" spans="2:18" ht="20.100000000000001" customHeight="1" x14ac:dyDescent="0.25">
      <c r="N29" s="4"/>
      <c r="O29" s="4"/>
      <c r="P29" s="4"/>
    </row>
    <row r="30" spans="2:18" ht="14.4" thickBot="1" x14ac:dyDescent="0.3">
      <c r="Q30" s="5"/>
      <c r="R30" s="5"/>
    </row>
    <row r="31" spans="2:18" ht="21" customHeight="1" x14ac:dyDescent="0.25">
      <c r="B31" s="109" t="s">
        <v>7</v>
      </c>
      <c r="C31" s="110"/>
      <c r="D31" s="110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2"/>
    </row>
    <row r="32" spans="2:18" x14ac:dyDescent="0.25">
      <c r="B32" s="43"/>
      <c r="C32" s="44"/>
      <c r="D32" s="44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6"/>
    </row>
    <row r="33" spans="2:17" x14ac:dyDescent="0.25">
      <c r="B33" s="47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6"/>
    </row>
    <row r="34" spans="2:17" ht="14.4" thickBot="1" x14ac:dyDescent="0.3">
      <c r="B34" s="48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50"/>
    </row>
    <row r="35" spans="2:17" ht="12.75" customHeight="1" thickBot="1" x14ac:dyDescent="0.3">
      <c r="Q35" s="51"/>
    </row>
    <row r="36" spans="2:17" ht="14.4" thickBot="1" x14ac:dyDescent="0.3">
      <c r="B36" s="100" t="s">
        <v>15</v>
      </c>
      <c r="C36" s="101"/>
      <c r="D36" s="101"/>
      <c r="E36" s="101"/>
      <c r="F36" s="102">
        <f>N28</f>
        <v>0</v>
      </c>
      <c r="G36" s="103"/>
    </row>
    <row r="41" spans="2:17" ht="14.4" thickBot="1" x14ac:dyDescent="0.3">
      <c r="C41" s="105"/>
      <c r="D41" s="105"/>
      <c r="E41" s="105"/>
      <c r="F41" s="52"/>
      <c r="G41" s="52"/>
      <c r="H41" s="52"/>
      <c r="I41" s="52"/>
      <c r="J41" s="52"/>
      <c r="K41" s="52"/>
    </row>
    <row r="42" spans="2:17" x14ac:dyDescent="0.25">
      <c r="C42" s="105"/>
      <c r="D42" s="105"/>
      <c r="E42" s="105"/>
      <c r="F42" s="104" t="s">
        <v>112</v>
      </c>
      <c r="G42" s="104"/>
      <c r="H42" s="104"/>
      <c r="I42" s="104"/>
      <c r="J42" s="104"/>
      <c r="K42" s="104"/>
    </row>
    <row r="43" spans="2:17" ht="12" customHeight="1" x14ac:dyDescent="0.25"/>
  </sheetData>
  <sheetProtection selectLockedCells="1"/>
  <mergeCells count="25">
    <mergeCell ref="B10:C10"/>
    <mergeCell ref="D10:E10"/>
    <mergeCell ref="E12:J12"/>
    <mergeCell ref="B5:C5"/>
    <mergeCell ref="C42:E42"/>
    <mergeCell ref="F42:K42"/>
    <mergeCell ref="K12:M12"/>
    <mergeCell ref="N12:Q12"/>
    <mergeCell ref="B31:D31"/>
    <mergeCell ref="B36:E36"/>
    <mergeCell ref="F36:G36"/>
    <mergeCell ref="C41:E41"/>
    <mergeCell ref="B8:C8"/>
    <mergeCell ref="D8:E8"/>
    <mergeCell ref="B9:C9"/>
    <mergeCell ref="D9:E9"/>
    <mergeCell ref="G9:I9"/>
    <mergeCell ref="A1:R1"/>
    <mergeCell ref="A2:R2"/>
    <mergeCell ref="B6:Q6"/>
    <mergeCell ref="B7:C7"/>
    <mergeCell ref="D7:E7"/>
    <mergeCell ref="G7:K7"/>
    <mergeCell ref="L7:M7"/>
    <mergeCell ref="P7:Q7"/>
  </mergeCells>
  <printOptions horizontalCentered="1" verticalCentered="1"/>
  <pageMargins left="7.874015748031496E-2" right="7.874015748031496E-2" top="0.15748031496062992" bottom="0.15748031496062992" header="0.11811023622047245" footer="0.11811023622047245"/>
  <pageSetup scale="41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7"/>
  <dimension ref="A1:G27"/>
  <sheetViews>
    <sheetView workbookViewId="0">
      <selection activeCell="A20" sqref="A20"/>
    </sheetView>
  </sheetViews>
  <sheetFormatPr baseColWidth="10" defaultColWidth="10.88671875" defaultRowHeight="14.4" x14ac:dyDescent="0.3"/>
  <cols>
    <col min="2" max="2" width="41.33203125" customWidth="1"/>
    <col min="3" max="3" width="10.109375" customWidth="1"/>
    <col min="4" max="4" width="16.33203125" bestFit="1" customWidth="1"/>
    <col min="5" max="5" width="14.33203125" bestFit="1" customWidth="1"/>
  </cols>
  <sheetData>
    <row r="1" spans="1:7" x14ac:dyDescent="0.3">
      <c r="A1" s="1" t="s">
        <v>10</v>
      </c>
      <c r="B1" s="1" t="s">
        <v>6</v>
      </c>
      <c r="C1" s="1" t="s">
        <v>12</v>
      </c>
      <c r="D1" s="1" t="s">
        <v>11</v>
      </c>
      <c r="E1" s="1" t="s">
        <v>62</v>
      </c>
      <c r="F1" s="1" t="s">
        <v>54</v>
      </c>
      <c r="G1" s="1" t="s">
        <v>62</v>
      </c>
    </row>
    <row r="2" spans="1:7" x14ac:dyDescent="0.3">
      <c r="A2" t="s">
        <v>68</v>
      </c>
      <c r="B2" t="s">
        <v>65</v>
      </c>
      <c r="C2">
        <v>100</v>
      </c>
      <c r="D2" t="s">
        <v>21</v>
      </c>
      <c r="E2">
        <v>1</v>
      </c>
      <c r="F2" t="s">
        <v>55</v>
      </c>
      <c r="G2" t="s">
        <v>63</v>
      </c>
    </row>
    <row r="3" spans="1:7" x14ac:dyDescent="0.3">
      <c r="A3" t="s">
        <v>27</v>
      </c>
      <c r="B3" t="s">
        <v>38</v>
      </c>
      <c r="C3">
        <v>100</v>
      </c>
      <c r="D3" t="s">
        <v>22</v>
      </c>
      <c r="E3">
        <v>2</v>
      </c>
      <c r="F3" t="s">
        <v>56</v>
      </c>
      <c r="G3" t="s">
        <v>64</v>
      </c>
    </row>
    <row r="4" spans="1:7" x14ac:dyDescent="0.3">
      <c r="A4" t="s">
        <v>28</v>
      </c>
      <c r="B4" t="s">
        <v>73</v>
      </c>
      <c r="C4">
        <v>100</v>
      </c>
      <c r="D4" t="s">
        <v>20</v>
      </c>
      <c r="F4" t="s">
        <v>57</v>
      </c>
    </row>
    <row r="5" spans="1:7" x14ac:dyDescent="0.3">
      <c r="A5" t="s">
        <v>29</v>
      </c>
      <c r="B5" t="s">
        <v>39</v>
      </c>
      <c r="C5">
        <v>100</v>
      </c>
    </row>
    <row r="6" spans="1:7" x14ac:dyDescent="0.3">
      <c r="A6" t="s">
        <v>30</v>
      </c>
      <c r="B6" t="s">
        <v>40</v>
      </c>
      <c r="C6">
        <v>100</v>
      </c>
    </row>
    <row r="7" spans="1:7" x14ac:dyDescent="0.3">
      <c r="A7" t="s">
        <v>31</v>
      </c>
      <c r="B7" t="s">
        <v>41</v>
      </c>
      <c r="C7">
        <v>100</v>
      </c>
    </row>
    <row r="8" spans="1:7" x14ac:dyDescent="0.3">
      <c r="A8" s="2" t="s">
        <v>59</v>
      </c>
      <c r="B8" t="s">
        <v>61</v>
      </c>
      <c r="C8" s="3">
        <v>100</v>
      </c>
    </row>
    <row r="9" spans="1:7" x14ac:dyDescent="0.3">
      <c r="A9" t="s">
        <v>67</v>
      </c>
      <c r="B9" t="s">
        <v>66</v>
      </c>
      <c r="C9">
        <v>25</v>
      </c>
    </row>
    <row r="10" spans="1:7" x14ac:dyDescent="0.3">
      <c r="A10" t="s">
        <v>32</v>
      </c>
      <c r="B10" t="s">
        <v>42</v>
      </c>
      <c r="C10">
        <v>25</v>
      </c>
    </row>
    <row r="11" spans="1:7" x14ac:dyDescent="0.3">
      <c r="A11" t="s">
        <v>33</v>
      </c>
      <c r="B11" t="s">
        <v>74</v>
      </c>
      <c r="C11">
        <v>25</v>
      </c>
    </row>
    <row r="12" spans="1:7" x14ac:dyDescent="0.3">
      <c r="A12" t="s">
        <v>34</v>
      </c>
      <c r="B12" t="s">
        <v>43</v>
      </c>
      <c r="C12">
        <v>25</v>
      </c>
    </row>
    <row r="13" spans="1:7" x14ac:dyDescent="0.3">
      <c r="A13" t="s">
        <v>35</v>
      </c>
      <c r="B13" t="s">
        <v>58</v>
      </c>
      <c r="C13">
        <v>25</v>
      </c>
    </row>
    <row r="14" spans="1:7" x14ac:dyDescent="0.3">
      <c r="A14" t="s">
        <v>36</v>
      </c>
      <c r="B14" t="s">
        <v>44</v>
      </c>
      <c r="C14">
        <v>25</v>
      </c>
    </row>
    <row r="15" spans="1:7" x14ac:dyDescent="0.3">
      <c r="A15" t="s">
        <v>37</v>
      </c>
      <c r="B15" t="s">
        <v>45</v>
      </c>
      <c r="C15">
        <v>20</v>
      </c>
    </row>
    <row r="16" spans="1:7" x14ac:dyDescent="0.3">
      <c r="A16" t="s">
        <v>46</v>
      </c>
      <c r="B16" t="s">
        <v>48</v>
      </c>
      <c r="C16">
        <v>100</v>
      </c>
    </row>
    <row r="17" spans="1:3" x14ac:dyDescent="0.3">
      <c r="A17" t="s">
        <v>78</v>
      </c>
      <c r="B17" t="s">
        <v>79</v>
      </c>
      <c r="C17">
        <v>100</v>
      </c>
    </row>
    <row r="18" spans="1:3" x14ac:dyDescent="0.3">
      <c r="A18" t="s">
        <v>80</v>
      </c>
      <c r="B18" t="s">
        <v>81</v>
      </c>
      <c r="C18">
        <v>100</v>
      </c>
    </row>
    <row r="19" spans="1:3" x14ac:dyDescent="0.3">
      <c r="A19" t="s">
        <v>72</v>
      </c>
      <c r="B19" t="s">
        <v>77</v>
      </c>
      <c r="C19">
        <v>100</v>
      </c>
    </row>
    <row r="20" spans="1:3" x14ac:dyDescent="0.3">
      <c r="A20" t="s">
        <v>70</v>
      </c>
      <c r="B20" t="s">
        <v>71</v>
      </c>
      <c r="C20">
        <v>110</v>
      </c>
    </row>
    <row r="21" spans="1:3" x14ac:dyDescent="0.3">
      <c r="A21" t="s">
        <v>47</v>
      </c>
      <c r="B21" t="s">
        <v>49</v>
      </c>
      <c r="C21">
        <v>100</v>
      </c>
    </row>
    <row r="22" spans="1:3" x14ac:dyDescent="0.3">
      <c r="A22" t="s">
        <v>75</v>
      </c>
      <c r="B22" t="s">
        <v>76</v>
      </c>
      <c r="C22">
        <v>25</v>
      </c>
    </row>
    <row r="23" spans="1:3" x14ac:dyDescent="0.3">
      <c r="A23" t="s">
        <v>50</v>
      </c>
      <c r="B23" t="s">
        <v>53</v>
      </c>
      <c r="C23">
        <v>100</v>
      </c>
    </row>
    <row r="24" spans="1:3" x14ac:dyDescent="0.3">
      <c r="A24" t="s">
        <v>50</v>
      </c>
      <c r="B24" t="s">
        <v>69</v>
      </c>
      <c r="C24">
        <v>100</v>
      </c>
    </row>
    <row r="25" spans="1:3" x14ac:dyDescent="0.3">
      <c r="A25" t="s">
        <v>50</v>
      </c>
      <c r="B25" t="s">
        <v>51</v>
      </c>
      <c r="C25">
        <v>100</v>
      </c>
    </row>
    <row r="26" spans="1:3" x14ac:dyDescent="0.3">
      <c r="A26" t="s">
        <v>50</v>
      </c>
      <c r="B26" t="s">
        <v>52</v>
      </c>
      <c r="C26">
        <v>100</v>
      </c>
    </row>
    <row r="27" spans="1:3" x14ac:dyDescent="0.3">
      <c r="A27" t="s">
        <v>82</v>
      </c>
      <c r="B27" t="s">
        <v>83</v>
      </c>
      <c r="C27">
        <v>35</v>
      </c>
    </row>
  </sheetData>
  <customSheetViews>
    <customSheetView guid="{2ACB5BA0-7BC2-644B-830F-E4BD72611AEC}">
      <selection activeCell="B13" sqref="B13"/>
      <pageMargins left="0.7" right="0.7" top="0.75" bottom="0.75" header="0.3" footer="0.3"/>
    </customSheetView>
  </customSheetView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72EE9-CAE2-405A-B5C7-6A3803434ED2}">
  <dimension ref="A1:G22"/>
  <sheetViews>
    <sheetView workbookViewId="0">
      <selection activeCell="C21" sqref="C21"/>
    </sheetView>
  </sheetViews>
  <sheetFormatPr baseColWidth="10" defaultColWidth="10.88671875" defaultRowHeight="14.4" x14ac:dyDescent="0.3"/>
  <cols>
    <col min="2" max="2" width="52.6640625" customWidth="1"/>
    <col min="3" max="3" width="10.109375" customWidth="1"/>
    <col min="4" max="4" width="16.33203125" bestFit="1" customWidth="1"/>
    <col min="5" max="5" width="14.33203125" bestFit="1" customWidth="1"/>
  </cols>
  <sheetData>
    <row r="1" spans="1:7" ht="15" thickBot="1" x14ac:dyDescent="0.35">
      <c r="A1" s="1" t="s">
        <v>10</v>
      </c>
      <c r="B1" s="1" t="s">
        <v>6</v>
      </c>
      <c r="C1" s="1" t="s">
        <v>12</v>
      </c>
      <c r="D1" s="1" t="s">
        <v>11</v>
      </c>
      <c r="E1" s="1" t="s">
        <v>62</v>
      </c>
      <c r="F1" s="1" t="s">
        <v>54</v>
      </c>
      <c r="G1" s="1" t="s">
        <v>62</v>
      </c>
    </row>
    <row r="2" spans="1:7" x14ac:dyDescent="0.3">
      <c r="A2" s="77" t="s">
        <v>27</v>
      </c>
      <c r="B2" s="78" t="s">
        <v>38</v>
      </c>
      <c r="C2">
        <v>100</v>
      </c>
      <c r="D2" t="s">
        <v>21</v>
      </c>
      <c r="E2">
        <v>1</v>
      </c>
      <c r="F2" t="s">
        <v>55</v>
      </c>
      <c r="G2" t="s">
        <v>87</v>
      </c>
    </row>
    <row r="3" spans="1:7" x14ac:dyDescent="0.3">
      <c r="A3" s="79" t="s">
        <v>28</v>
      </c>
      <c r="B3" s="80" t="s">
        <v>91</v>
      </c>
      <c r="C3">
        <v>100</v>
      </c>
      <c r="D3" t="s">
        <v>22</v>
      </c>
      <c r="E3">
        <v>2</v>
      </c>
      <c r="F3" t="s">
        <v>56</v>
      </c>
      <c r="G3" t="s">
        <v>89</v>
      </c>
    </row>
    <row r="4" spans="1:7" x14ac:dyDescent="0.3">
      <c r="A4" s="81" t="s">
        <v>29</v>
      </c>
      <c r="B4" s="82" t="s">
        <v>39</v>
      </c>
      <c r="C4">
        <v>100</v>
      </c>
      <c r="D4" t="s">
        <v>20</v>
      </c>
      <c r="F4" t="s">
        <v>57</v>
      </c>
    </row>
    <row r="5" spans="1:7" x14ac:dyDescent="0.3">
      <c r="A5" s="79" t="s">
        <v>30</v>
      </c>
      <c r="B5" s="80" t="s">
        <v>40</v>
      </c>
      <c r="C5">
        <v>100</v>
      </c>
    </row>
    <row r="6" spans="1:7" x14ac:dyDescent="0.3">
      <c r="A6" s="83" t="s">
        <v>31</v>
      </c>
      <c r="B6" s="84" t="s">
        <v>41</v>
      </c>
      <c r="C6">
        <v>100</v>
      </c>
    </row>
    <row r="7" spans="1:7" x14ac:dyDescent="0.3">
      <c r="A7" s="79" t="s">
        <v>59</v>
      </c>
      <c r="B7" s="80" t="s">
        <v>92</v>
      </c>
      <c r="C7">
        <v>100</v>
      </c>
    </row>
    <row r="8" spans="1:7" x14ac:dyDescent="0.3">
      <c r="A8" s="83" t="s">
        <v>68</v>
      </c>
      <c r="B8" s="84" t="s">
        <v>65</v>
      </c>
      <c r="C8" s="3">
        <v>100</v>
      </c>
    </row>
    <row r="9" spans="1:7" x14ac:dyDescent="0.3">
      <c r="A9" s="81" t="s">
        <v>93</v>
      </c>
      <c r="B9" s="82" t="s">
        <v>94</v>
      </c>
      <c r="C9">
        <v>100</v>
      </c>
    </row>
    <row r="10" spans="1:7" x14ac:dyDescent="0.3">
      <c r="A10" s="81" t="s">
        <v>32</v>
      </c>
      <c r="B10" s="82" t="s">
        <v>42</v>
      </c>
      <c r="C10">
        <v>25</v>
      </c>
    </row>
    <row r="11" spans="1:7" x14ac:dyDescent="0.3">
      <c r="A11" s="79" t="s">
        <v>33</v>
      </c>
      <c r="B11" s="80" t="s">
        <v>95</v>
      </c>
      <c r="C11">
        <v>25</v>
      </c>
    </row>
    <row r="12" spans="1:7" x14ac:dyDescent="0.3">
      <c r="A12" s="81" t="s">
        <v>34</v>
      </c>
      <c r="B12" s="82" t="s">
        <v>90</v>
      </c>
      <c r="C12">
        <v>25</v>
      </c>
    </row>
    <row r="13" spans="1:7" x14ac:dyDescent="0.3">
      <c r="A13" s="79" t="s">
        <v>35</v>
      </c>
      <c r="B13" s="80" t="s">
        <v>58</v>
      </c>
      <c r="C13">
        <v>25</v>
      </c>
    </row>
    <row r="14" spans="1:7" x14ac:dyDescent="0.3">
      <c r="A14" s="83" t="s">
        <v>36</v>
      </c>
      <c r="B14" s="84" t="s">
        <v>96</v>
      </c>
      <c r="C14">
        <v>25</v>
      </c>
    </row>
    <row r="15" spans="1:7" x14ac:dyDescent="0.3">
      <c r="A15" s="79" t="s">
        <v>67</v>
      </c>
      <c r="B15" s="80" t="s">
        <v>66</v>
      </c>
      <c r="C15">
        <v>20</v>
      </c>
    </row>
    <row r="16" spans="1:7" x14ac:dyDescent="0.3">
      <c r="A16" s="81" t="s">
        <v>97</v>
      </c>
      <c r="B16" s="82" t="s">
        <v>98</v>
      </c>
      <c r="C16">
        <v>25</v>
      </c>
    </row>
    <row r="17" spans="1:3" x14ac:dyDescent="0.3">
      <c r="A17" s="83" t="s">
        <v>72</v>
      </c>
      <c r="B17" s="84" t="s">
        <v>99</v>
      </c>
      <c r="C17">
        <v>100</v>
      </c>
    </row>
    <row r="18" spans="1:3" x14ac:dyDescent="0.3">
      <c r="A18" s="79" t="s">
        <v>47</v>
      </c>
      <c r="B18" s="80" t="s">
        <v>49</v>
      </c>
      <c r="C18">
        <v>100</v>
      </c>
    </row>
    <row r="19" spans="1:3" x14ac:dyDescent="0.3">
      <c r="A19" s="83" t="s">
        <v>75</v>
      </c>
      <c r="B19" s="84" t="s">
        <v>100</v>
      </c>
      <c r="C19">
        <v>25</v>
      </c>
    </row>
    <row r="20" spans="1:3" x14ac:dyDescent="0.3">
      <c r="B20" t="s">
        <v>101</v>
      </c>
      <c r="C20">
        <v>100</v>
      </c>
    </row>
    <row r="22" spans="1:3" ht="15" thickBot="1" x14ac:dyDescent="0.35">
      <c r="B22" s="85"/>
    </row>
  </sheetData>
  <pageMargins left="0.7" right="0.7" top="0.75" bottom="0.75" header="0.3" footer="0.3"/>
  <pageSetup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0AB3-B9CF-476E-8BFB-F2B57BA0F426}">
  <dimension ref="A1:E12"/>
  <sheetViews>
    <sheetView tabSelected="1" workbookViewId="0">
      <selection activeCell="B12" sqref="B12"/>
    </sheetView>
  </sheetViews>
  <sheetFormatPr baseColWidth="10" defaultRowHeight="14.4" x14ac:dyDescent="0.3"/>
  <cols>
    <col min="1" max="1" width="21.109375" bestFit="1" customWidth="1"/>
  </cols>
  <sheetData>
    <row r="1" spans="1:5" x14ac:dyDescent="0.3">
      <c r="A1" t="s">
        <v>102</v>
      </c>
    </row>
    <row r="2" spans="1:5" x14ac:dyDescent="0.3">
      <c r="A2" t="s">
        <v>103</v>
      </c>
    </row>
    <row r="3" spans="1:5" x14ac:dyDescent="0.3">
      <c r="A3" t="s">
        <v>104</v>
      </c>
      <c r="B3" s="86">
        <v>0.72599999999999998</v>
      </c>
    </row>
    <row r="4" spans="1:5" x14ac:dyDescent="0.3">
      <c r="A4" t="s">
        <v>5</v>
      </c>
      <c r="B4" s="86">
        <v>0.66100000000000003</v>
      </c>
    </row>
    <row r="5" spans="1:5" x14ac:dyDescent="0.3">
      <c r="A5" t="s">
        <v>105</v>
      </c>
      <c r="B5" s="87">
        <f>B4/B3</f>
        <v>0.91046831955922869</v>
      </c>
    </row>
    <row r="6" spans="1:5" x14ac:dyDescent="0.3">
      <c r="A6" t="s">
        <v>106</v>
      </c>
      <c r="B6" s="87">
        <f>1-B5-B7</f>
        <v>4.953168044077131E-2</v>
      </c>
    </row>
    <row r="7" spans="1:5" x14ac:dyDescent="0.3">
      <c r="A7" t="s">
        <v>107</v>
      </c>
      <c r="B7" s="88">
        <v>0.04</v>
      </c>
    </row>
    <row r="8" spans="1:5" x14ac:dyDescent="0.3">
      <c r="A8" t="s">
        <v>108</v>
      </c>
      <c r="B8" s="89">
        <f>D11/B3</f>
        <v>2899.3939393939395</v>
      </c>
    </row>
    <row r="10" spans="1:5" x14ac:dyDescent="0.3">
      <c r="A10" s="90" t="s">
        <v>109</v>
      </c>
      <c r="B10" s="90" t="s">
        <v>110</v>
      </c>
      <c r="C10" s="90" t="s">
        <v>62</v>
      </c>
      <c r="D10" s="90" t="s">
        <v>16</v>
      </c>
      <c r="E10" s="90" t="s">
        <v>111</v>
      </c>
    </row>
    <row r="11" spans="1:5" x14ac:dyDescent="0.3">
      <c r="A11" t="s">
        <v>5</v>
      </c>
      <c r="B11" s="91">
        <v>96</v>
      </c>
      <c r="C11" s="91">
        <v>210400</v>
      </c>
      <c r="D11" s="91">
        <f>SUM(B11+C11)/100</f>
        <v>2104.96</v>
      </c>
    </row>
    <row r="12" spans="1:5" x14ac:dyDescent="0.3">
      <c r="A12" t="s">
        <v>88</v>
      </c>
      <c r="B12" s="91">
        <f>'[1]ARROBAS (TEMPLATE)'!N11*'[1]ARROBAS (TEMPLATE)'!I11+'[1]ARROBAS (TEMPLATE)'!N12*'[1]ARROBAS (TEMPLATE)'!I12+'[1]ARROBAS (TEMPLATE)'!N13*'[1]ARROBAS (TEMPLATE)'!I13+'[1]ARROBAS (TEMPLATE)'!N14*'[1]ARROBAS (TEMPLATE)'!I14+'[1]ARROBAS (TEMPLATE)'!N15*'[1]ARROBAS (TEMPLATE)'!I15+'[1]ARROBAS (TEMPLATE)'!N16*'[1]ARROBAS (TEMPLATE)'!I16+'[1]ARROBAS (TEMPLATE)'!N17*'[1]ARROBAS (TEMPLATE)'!I17+'[1]ARROBAS (TEMPLATE)'!N18*'[1]ARROBAS (TEMPLATE)'!I18+'[1]ARROBAS (TEMPLATE)'!N19*'[1]ARROBAS (TEMPLATE)'!I19+'[1]ARROBAS (TEMPLATE)'!N20*'[1]ARROBAS (TEMPLATE)'!I20+'[1]ARROBAS (TEMPLATE)'!N21*'[1]ARROBAS (TEMPLATE)'!I21+'[1]ARROBAS (TEMPLATE)'!N22*'[1]ARROBAS (TEMPLATE)'!I22+'[1]ARROBAS (TEMPLATE)'!N23*'[1]ARROBAS (TEMPLATE)'!I23+'[1]ARROBAS (TEMPLATE)'!N24*'[1]ARROBAS (TEMPLATE)'!I24+'[1]ARROBAS (TEMPLATE)'!N27*'[1]ARROBAS (TEMPLATE)'!I27</f>
        <v>20000</v>
      </c>
      <c r="C12" s="91">
        <f>'[1]MOLINO (TEMPLATE)'!M12*'[1]MOLINO (TEMPLATE)'!H12+'[1]MOLINO (TEMPLATE)'!M13*'[1]MOLINO (TEMPLATE)'!H13+'[1]MOLINO (TEMPLATE)'!M14*'[1]MOLINO (TEMPLATE)'!H14+'[1]MOLINO (TEMPLATE)'!M15*'[1]MOLINO (TEMPLATE)'!H15+'[1]MOLINO (TEMPLATE)'!M16*'[1]MOLINO (TEMPLATE)'!H16+'[1]MOLINO (TEMPLATE)'!M17*'[1]MOLINO (TEMPLATE)'!H17+'[1]MOLINO (TEMPLATE)'!M18*'[1]MOLINO (TEMPLATE)'!H18+'[1]MOLINO (TEMPLATE)'!M19*'[1]MOLINO (TEMPLATE)'!H19+'[1]MOLINO (TEMPLATE)'!M20*'[1]MOLINO (TEMPLATE)'!H20+'[1]MOLINO (TEMPLATE)'!M21*'[1]MOLINO (TEMPLATE)'!H21+'[1]MOLINO (TEMPLATE)'!M22*'[1]MOLINO (TEMPLATE)'!H22+'[1]MOLINO (TEMPLATE)'!M23*'[1]MOLINO (TEMPLATE)'!H23+'[1]MOLINO (TEMPLATE)'!M24*'[1]MOLINO (TEMPLATE)'!H24+'[1]MOLINO (TEMPLATE)'!M25*'[1]MOLINO (TEMPLATE)'!H25+'[1]MOLINO (TEMPLATE)'!M26*'[1]MOLINO (TEMPLATE)'!H26</f>
        <v>0</v>
      </c>
      <c r="D12" s="91">
        <f>SUM(B12+C12)/100</f>
        <v>200</v>
      </c>
      <c r="E12" s="87">
        <f>B6-(D12/D11)</f>
        <v>-4.5482001529432402E-2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v03</vt:lpstr>
      <vt:lpstr>INFO</vt:lpstr>
      <vt:lpstr>INFO (2)</vt:lpstr>
      <vt:lpstr>BALANCE</vt:lpstr>
      <vt:lpstr>'v03'!Área_de_impresión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walter.andrade</dc:creator>
  <cp:lastModifiedBy>Alejandra  Murillo</cp:lastModifiedBy>
  <cp:lastPrinted>2025-01-09T17:09:23Z</cp:lastPrinted>
  <dcterms:created xsi:type="dcterms:W3CDTF">2014-02-26T20:23:51Z</dcterms:created>
  <dcterms:modified xsi:type="dcterms:W3CDTF">2025-01-09T17:11:04Z</dcterms:modified>
</cp:coreProperties>
</file>